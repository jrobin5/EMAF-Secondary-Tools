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2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jrobin5\LocalData\4-GitHub\EMAF-Secondary-Tools\My Templates\"/>
    </mc:Choice>
  </mc:AlternateContent>
  <bookViews>
    <workbookView xWindow="0" yWindow="0" windowWidth="23040" windowHeight="6120" tabRatio="575"/>
  </bookViews>
  <sheets>
    <sheet name="Introduction" sheetId="1" r:id="rId1"/>
    <sheet name="Entities" sheetId="9" r:id="rId2"/>
    <sheet name="Information Flow Catalogue" sheetId="5" r:id="rId3"/>
    <sheet name="Statistics" sheetId="7" r:id="rId4"/>
    <sheet name="IF Visual (Static)" sheetId="6" r:id="rId5"/>
    <sheet name="IF Data Export" sheetId="8" r:id="rId6"/>
    <sheet name="Lookups" sheetId="4" r:id="rId7"/>
  </sheets>
  <definedNames>
    <definedName name="_Exchange">ExchangeLIst[[#Data],[_Exchange]]</definedName>
    <definedName name="_Format">Formats[[#Data],[_Format]]</definedName>
    <definedName name="_Initiator">Initiator[[#Data],[_Initiator]]</definedName>
    <definedName name="_Protocol">Protocol[[#Data],[_Protocol]]</definedName>
    <definedName name="_ProtocolName">Protocol[[#Data],[_ProtocolName]]</definedName>
    <definedName name="_Status">Status[[#Data],[_Status]]</definedName>
    <definedName name="_Type">Type[[#Data],[_Type]]</definedName>
    <definedName name="Conversation_Id">InfoFlow[[#Data],[Info Flow Id]]</definedName>
    <definedName name="Data_Entity_Name">DataEntities[[#Data],[Data Entity Name]]</definedName>
    <definedName name="Location_Name">Locations[[#Data],[Location Name]]</definedName>
    <definedName name="Logical_Component_Name">LogComponents[[#Data],[Logical Component Name]]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2" i="6" l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F2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C2" i="6"/>
  <c r="K2" i="6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C3" i="6" l="1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T3" i="7"/>
  <c r="U3" i="7" s="1"/>
  <c r="T4" i="7"/>
  <c r="U4" i="7" s="1"/>
  <c r="T5" i="7"/>
  <c r="U5" i="7" s="1"/>
  <c r="T6" i="7"/>
  <c r="U6" i="7" s="1"/>
  <c r="T7" i="7"/>
  <c r="U7" i="7" s="1"/>
  <c r="T8" i="7"/>
  <c r="U8" i="7" s="1"/>
  <c r="T9" i="7"/>
  <c r="U9" i="7" s="1"/>
  <c r="T10" i="7"/>
  <c r="U10" i="7" s="1"/>
  <c r="T11" i="7"/>
  <c r="U11" i="7" s="1"/>
  <c r="T12" i="7"/>
  <c r="U12" i="7" s="1"/>
  <c r="T13" i="7"/>
  <c r="U13" i="7" s="1"/>
  <c r="T14" i="7"/>
  <c r="U14" i="7" s="1"/>
  <c r="T15" i="7"/>
  <c r="U15" i="7" s="1"/>
  <c r="T16" i="7"/>
  <c r="U16" i="7" s="1"/>
  <c r="T17" i="7"/>
  <c r="U17" i="7" s="1"/>
  <c r="T18" i="7"/>
  <c r="U18" i="7" s="1"/>
  <c r="T19" i="7"/>
  <c r="U19" i="7" s="1"/>
  <c r="T20" i="7"/>
  <c r="U20" i="7" s="1"/>
  <c r="T21" i="7"/>
  <c r="U21" i="7" s="1"/>
  <c r="L51" i="7"/>
  <c r="K50" i="7"/>
  <c r="L50" i="7" s="1"/>
  <c r="K51" i="7"/>
  <c r="L42" i="7"/>
  <c r="L45" i="7"/>
  <c r="L48" i="7"/>
  <c r="K40" i="7"/>
  <c r="L40" i="7" s="1"/>
  <c r="K41" i="7"/>
  <c r="L41" i="7" s="1"/>
  <c r="K42" i="7"/>
  <c r="K43" i="7"/>
  <c r="L43" i="7" s="1"/>
  <c r="K44" i="7"/>
  <c r="L44" i="7" s="1"/>
  <c r="K45" i="7"/>
  <c r="K46" i="7"/>
  <c r="L46" i="7" s="1"/>
  <c r="K47" i="7"/>
  <c r="L47" i="7" s="1"/>
  <c r="K48" i="7"/>
  <c r="K49" i="7"/>
  <c r="L49" i="7" s="1"/>
  <c r="K7" i="7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L20" i="7" s="1"/>
  <c r="K21" i="7"/>
  <c r="L21" i="7" s="1"/>
  <c r="K22" i="7"/>
  <c r="L22" i="7" s="1"/>
  <c r="K23" i="7"/>
  <c r="L23" i="7" s="1"/>
  <c r="K24" i="7"/>
  <c r="L24" i="7" s="1"/>
  <c r="K25" i="7"/>
  <c r="L25" i="7" s="1"/>
  <c r="K26" i="7"/>
  <c r="L26" i="7" s="1"/>
  <c r="K27" i="7"/>
  <c r="L27" i="7" s="1"/>
  <c r="K28" i="7"/>
  <c r="L28" i="7" s="1"/>
  <c r="K29" i="7"/>
  <c r="L29" i="7" s="1"/>
  <c r="K30" i="7"/>
  <c r="L30" i="7" s="1"/>
  <c r="K31" i="7"/>
  <c r="L31" i="7" s="1"/>
  <c r="K32" i="7"/>
  <c r="L32" i="7" s="1"/>
  <c r="K33" i="7"/>
  <c r="L33" i="7" s="1"/>
  <c r="K34" i="7"/>
  <c r="L34" i="7" s="1"/>
  <c r="K35" i="7"/>
  <c r="L35" i="7" s="1"/>
  <c r="K36" i="7"/>
  <c r="L36" i="7" s="1"/>
  <c r="K37" i="7"/>
  <c r="L37" i="7" s="1"/>
  <c r="K38" i="7"/>
  <c r="L38" i="7" s="1"/>
  <c r="K39" i="7"/>
  <c r="L39" i="7" s="1"/>
  <c r="K3" i="7"/>
  <c r="K4" i="7"/>
  <c r="K5" i="7"/>
  <c r="K6" i="7"/>
  <c r="I5" i="7"/>
  <c r="I8" i="7"/>
  <c r="I11" i="7"/>
  <c r="I13" i="7"/>
  <c r="I14" i="7"/>
  <c r="I17" i="7"/>
  <c r="I22" i="7"/>
  <c r="H7" i="7"/>
  <c r="I7" i="7" s="1"/>
  <c r="H8" i="7"/>
  <c r="H9" i="7"/>
  <c r="I9" i="7" s="1"/>
  <c r="H10" i="7"/>
  <c r="I10" i="7" s="1"/>
  <c r="H11" i="7"/>
  <c r="H12" i="7"/>
  <c r="I12" i="7" s="1"/>
  <c r="H13" i="7"/>
  <c r="H14" i="7"/>
  <c r="H15" i="7"/>
  <c r="I15" i="7" s="1"/>
  <c r="H16" i="7"/>
  <c r="I16" i="7" s="1"/>
  <c r="H17" i="7"/>
  <c r="H18" i="7"/>
  <c r="I18" i="7" s="1"/>
  <c r="H19" i="7"/>
  <c r="I19" i="7" s="1"/>
  <c r="H20" i="7"/>
  <c r="I20" i="7" s="1"/>
  <c r="H21" i="7"/>
  <c r="I21" i="7" s="1"/>
  <c r="H22" i="7"/>
  <c r="H23" i="7"/>
  <c r="I23" i="7" s="1"/>
  <c r="H24" i="7"/>
  <c r="I24" i="7" s="1"/>
  <c r="H25" i="7"/>
  <c r="I25" i="7" s="1"/>
  <c r="H26" i="7"/>
  <c r="I26" i="7" s="1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3" i="7"/>
  <c r="I3" i="7" s="1"/>
  <c r="H4" i="7"/>
  <c r="I4" i="7" s="1"/>
  <c r="H5" i="7"/>
  <c r="H6" i="7"/>
  <c r="I6" i="7" s="1"/>
  <c r="E3" i="7"/>
  <c r="F11" i="7"/>
  <c r="F12" i="7"/>
  <c r="F14" i="7"/>
  <c r="F17" i="7"/>
  <c r="F41" i="7"/>
  <c r="E40" i="7"/>
  <c r="F40" i="7" s="1"/>
  <c r="E41" i="7"/>
  <c r="E32" i="7"/>
  <c r="F32" i="7" s="1"/>
  <c r="E33" i="7"/>
  <c r="F33" i="7" s="1"/>
  <c r="E34" i="7"/>
  <c r="F34" i="7" s="1"/>
  <c r="E35" i="7"/>
  <c r="F35" i="7" s="1"/>
  <c r="E36" i="7"/>
  <c r="F36" i="7" s="1"/>
  <c r="E37" i="7"/>
  <c r="F37" i="7" s="1"/>
  <c r="E38" i="7"/>
  <c r="F38" i="7" s="1"/>
  <c r="E39" i="7"/>
  <c r="F39" i="7" s="1"/>
  <c r="E20" i="7"/>
  <c r="F20" i="7" s="1"/>
  <c r="E21" i="7"/>
  <c r="F21" i="7" s="1"/>
  <c r="E22" i="7"/>
  <c r="F22" i="7" s="1"/>
  <c r="E23" i="7"/>
  <c r="F23" i="7" s="1"/>
  <c r="E24" i="7"/>
  <c r="F24" i="7" s="1"/>
  <c r="E25" i="7"/>
  <c r="F25" i="7" s="1"/>
  <c r="E26" i="7"/>
  <c r="F26" i="7" s="1"/>
  <c r="E27" i="7"/>
  <c r="F27" i="7" s="1"/>
  <c r="E28" i="7"/>
  <c r="F28" i="7" s="1"/>
  <c r="E29" i="7"/>
  <c r="F29" i="7" s="1"/>
  <c r="E30" i="7"/>
  <c r="F30" i="7" s="1"/>
  <c r="E31" i="7"/>
  <c r="F31" i="7" s="1"/>
  <c r="F3" i="7"/>
  <c r="E4" i="7"/>
  <c r="F4" i="7" s="1"/>
  <c r="E5" i="7"/>
  <c r="F5" i="7" s="1"/>
  <c r="E6" i="7"/>
  <c r="F6" i="7" s="1"/>
  <c r="E7" i="7"/>
  <c r="F7" i="7" s="1"/>
  <c r="E8" i="7"/>
  <c r="F8" i="7" s="1"/>
  <c r="E9" i="7"/>
  <c r="F9" i="7" s="1"/>
  <c r="E10" i="7"/>
  <c r="F10" i="7" s="1"/>
  <c r="E11" i="7"/>
  <c r="E12" i="7"/>
  <c r="E13" i="7"/>
  <c r="F13" i="7" s="1"/>
  <c r="E14" i="7"/>
  <c r="E15" i="7"/>
  <c r="F15" i="7" s="1"/>
  <c r="E16" i="7"/>
  <c r="F16" i="7" s="1"/>
  <c r="E17" i="7"/>
  <c r="E18" i="7"/>
  <c r="F18" i="7" s="1"/>
  <c r="E19" i="7"/>
  <c r="F19" i="7" s="1"/>
  <c r="N37" i="7"/>
  <c r="N38" i="7"/>
  <c r="N34" i="7"/>
  <c r="N35" i="7"/>
  <c r="N36" i="7"/>
  <c r="N29" i="7"/>
  <c r="N30" i="7"/>
  <c r="N31" i="7"/>
  <c r="N32" i="7"/>
  <c r="N33" i="7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3" i="7"/>
  <c r="Q3" i="7"/>
  <c r="R3" i="7" s="1"/>
  <c r="Q4" i="7"/>
  <c r="R4" i="7" s="1"/>
  <c r="Q5" i="7"/>
  <c r="R5" i="7" s="1"/>
  <c r="Q6" i="7"/>
  <c r="R6" i="7" s="1"/>
  <c r="Q7" i="7"/>
  <c r="R7" i="7" s="1"/>
  <c r="Q8" i="7"/>
  <c r="R8" i="7" s="1"/>
  <c r="Q9" i="7"/>
  <c r="R9" i="7" s="1"/>
  <c r="Q10" i="7"/>
  <c r="R10" i="7" s="1"/>
  <c r="Q11" i="7"/>
  <c r="R11" i="7" s="1"/>
  <c r="Q12" i="7"/>
  <c r="R12" i="7" s="1"/>
  <c r="Q13" i="7"/>
  <c r="R13" i="7" s="1"/>
  <c r="S4" i="5" l="1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2" i="5"/>
  <c r="S3" i="5"/>
  <c r="C3" i="7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C11" i="7"/>
  <c r="C12" i="7"/>
  <c r="C13" i="7"/>
  <c r="C14" i="7"/>
  <c r="C4" i="7"/>
  <c r="C5" i="7"/>
  <c r="C6" i="7"/>
  <c r="C7" i="7"/>
  <c r="D2" i="8"/>
  <c r="D3" i="8"/>
  <c r="D4" i="8"/>
  <c r="D5" i="8"/>
  <c r="D6" i="8"/>
  <c r="D7" i="8"/>
  <c r="D8" i="8"/>
  <c r="D9" i="8"/>
  <c r="D10" i="8"/>
  <c r="D11" i="8"/>
  <c r="C2" i="8"/>
  <c r="C3" i="8"/>
  <c r="C4" i="8"/>
  <c r="C5" i="8"/>
  <c r="C6" i="8"/>
  <c r="C7" i="8"/>
  <c r="C8" i="8"/>
  <c r="C9" i="8"/>
  <c r="C10" i="8"/>
  <c r="C11" i="8"/>
  <c r="B2" i="8"/>
  <c r="B3" i="8"/>
  <c r="B4" i="8"/>
  <c r="B5" i="8"/>
  <c r="B6" i="8"/>
  <c r="B7" i="8"/>
  <c r="B8" i="8"/>
  <c r="B9" i="8"/>
  <c r="B10" i="8"/>
  <c r="B11" i="8"/>
  <c r="A2" i="8"/>
  <c r="A3" i="8"/>
  <c r="A4" i="8"/>
  <c r="A5" i="8"/>
  <c r="A6" i="8"/>
  <c r="A7" i="8"/>
  <c r="A8" i="8"/>
  <c r="A9" i="8"/>
  <c r="A10" i="8"/>
  <c r="A11" i="8"/>
  <c r="N10" i="8"/>
  <c r="M10" i="8"/>
  <c r="M3" i="8"/>
  <c r="M5" i="8"/>
  <c r="L8" i="8"/>
  <c r="M8" i="8"/>
  <c r="N8" i="8"/>
  <c r="L4" i="8"/>
  <c r="N4" i="8"/>
  <c r="M4" i="8"/>
  <c r="M2" i="8"/>
  <c r="N2" i="8"/>
  <c r="L2" i="8"/>
  <c r="H2" i="8"/>
  <c r="K2" i="8"/>
  <c r="I8" i="8"/>
  <c r="K8" i="8"/>
  <c r="I4" i="8"/>
  <c r="K4" i="8"/>
  <c r="I9" i="8"/>
  <c r="G9" i="8"/>
  <c r="I5" i="8"/>
  <c r="H9" i="8"/>
  <c r="I3" i="8"/>
  <c r="J10" i="8"/>
  <c r="G10" i="8"/>
  <c r="G2" i="8"/>
  <c r="H8" i="8"/>
  <c r="H4" i="8"/>
  <c r="I2" i="8"/>
  <c r="J9" i="8"/>
  <c r="J4" i="8"/>
  <c r="J8" i="8"/>
  <c r="G8" i="8"/>
  <c r="G4" i="8"/>
  <c r="E10" i="8" l="1"/>
  <c r="F10" i="8"/>
  <c r="E9" i="8"/>
  <c r="F9" i="8"/>
  <c r="E8" i="8"/>
  <c r="F8" i="8"/>
  <c r="K9" i="8"/>
  <c r="H7" i="8"/>
  <c r="E7" i="8"/>
  <c r="F7" i="8"/>
  <c r="L9" i="8"/>
  <c r="N6" i="8"/>
  <c r="E6" i="8"/>
  <c r="F6" i="8"/>
  <c r="N9" i="8"/>
  <c r="G5" i="8"/>
  <c r="E5" i="8"/>
  <c r="F5" i="8"/>
  <c r="M9" i="8"/>
  <c r="E4" i="8"/>
  <c r="F4" i="8"/>
  <c r="E11" i="8"/>
  <c r="F11" i="8"/>
  <c r="E3" i="8"/>
  <c r="F3" i="8"/>
  <c r="L10" i="8"/>
  <c r="J2" i="8"/>
  <c r="E2" i="8"/>
  <c r="F2" i="8"/>
  <c r="I11" i="8"/>
  <c r="K11" i="8"/>
  <c r="J11" i="8"/>
  <c r="H11" i="8"/>
  <c r="M11" i="8"/>
  <c r="L11" i="8"/>
  <c r="G11" i="8"/>
  <c r="N11" i="8"/>
  <c r="K10" i="8"/>
  <c r="I10" i="8"/>
  <c r="H10" i="8"/>
  <c r="O25" i="7"/>
  <c r="O3" i="7"/>
  <c r="O23" i="7"/>
  <c r="O24" i="7"/>
  <c r="O16" i="7"/>
  <c r="O29" i="7"/>
  <c r="O30" i="7"/>
  <c r="O31" i="7"/>
  <c r="O26" i="7"/>
  <c r="O4" i="7"/>
  <c r="O11" i="7"/>
  <c r="O12" i="7"/>
  <c r="O13" i="7"/>
  <c r="O14" i="7"/>
  <c r="O15" i="7"/>
  <c r="O27" i="7"/>
  <c r="O28" i="7"/>
  <c r="O9" i="7"/>
  <c r="O36" i="7"/>
  <c r="O20" i="7"/>
  <c r="O33" i="7"/>
  <c r="O7" i="7"/>
  <c r="O32" i="7"/>
  <c r="O38" i="7"/>
  <c r="O34" i="7"/>
  <c r="O10" i="7"/>
  <c r="O22" i="7"/>
  <c r="O18" i="7"/>
  <c r="O21" i="7"/>
  <c r="O19" i="7"/>
  <c r="O6" i="7"/>
  <c r="O8" i="7"/>
  <c r="O37" i="7"/>
  <c r="O35" i="7"/>
  <c r="O17" i="7"/>
  <c r="O5" i="7"/>
  <c r="L3" i="8"/>
  <c r="K7" i="8"/>
  <c r="G7" i="8"/>
  <c r="J7" i="8"/>
  <c r="N3" i="8"/>
  <c r="M6" i="8"/>
  <c r="H3" i="8"/>
  <c r="L7" i="8"/>
  <c r="M7" i="8"/>
  <c r="I7" i="8"/>
  <c r="J3" i="8"/>
  <c r="G3" i="8"/>
  <c r="N7" i="8"/>
  <c r="K3" i="8"/>
  <c r="K6" i="8"/>
  <c r="G6" i="8"/>
  <c r="H6" i="8"/>
  <c r="H5" i="8"/>
  <c r="J6" i="8"/>
  <c r="J5" i="8"/>
  <c r="N5" i="8"/>
  <c r="L6" i="8"/>
  <c r="K5" i="8"/>
  <c r="L5" i="8"/>
  <c r="I6" i="8"/>
</calcChain>
</file>

<file path=xl/sharedStrings.xml><?xml version="1.0" encoding="utf-8"?>
<sst xmlns="http://schemas.openxmlformats.org/spreadsheetml/2006/main" count="482" uniqueCount="369">
  <si>
    <t>Office of Modern Architecture</t>
  </si>
  <si>
    <t>Worksheet Name</t>
  </si>
  <si>
    <t xml:space="preserve"> </t>
  </si>
  <si>
    <t>Purpose</t>
  </si>
  <si>
    <t>Instructions</t>
  </si>
  <si>
    <t>This sheet</t>
  </si>
  <si>
    <t>Information Flow Catalogue</t>
  </si>
  <si>
    <t>Statistics</t>
  </si>
  <si>
    <t>Information Flow Visual (Static)</t>
  </si>
  <si>
    <t>IF Data Export</t>
  </si>
  <si>
    <t>Lookups</t>
  </si>
  <si>
    <t>Info Flow Id</t>
  </si>
  <si>
    <t>Displayed Id</t>
  </si>
  <si>
    <t>Source Application</t>
  </si>
  <si>
    <t>Destination Application</t>
  </si>
  <si>
    <t>Data Entity 1</t>
  </si>
  <si>
    <t>Data Entity 2</t>
  </si>
  <si>
    <t>Data Entity 3</t>
  </si>
  <si>
    <t>Data Entity 4</t>
  </si>
  <si>
    <t>Data Entity 5</t>
  </si>
  <si>
    <t>Data Entity 6</t>
  </si>
  <si>
    <t>Initiator</t>
  </si>
  <si>
    <t>Exchange</t>
  </si>
  <si>
    <t>Type</t>
  </si>
  <si>
    <t>Protocol Name</t>
  </si>
  <si>
    <t>Protocol</t>
  </si>
  <si>
    <t>Format</t>
  </si>
  <si>
    <t>Status</t>
  </si>
  <si>
    <t>Description</t>
  </si>
  <si>
    <t>Location</t>
  </si>
  <si>
    <t>IF001</t>
  </si>
  <si>
    <t>Event Driven</t>
  </si>
  <si>
    <t>App-API</t>
  </si>
  <si>
    <t>XML</t>
  </si>
  <si>
    <t>Enter description here</t>
  </si>
  <si>
    <t>IF002</t>
  </si>
  <si>
    <t>App-SOAP</t>
  </si>
  <si>
    <t>IF003</t>
  </si>
  <si>
    <t>IF004</t>
  </si>
  <si>
    <t>IF005</t>
  </si>
  <si>
    <t>IF006</t>
  </si>
  <si>
    <t>IF007</t>
  </si>
  <si>
    <t>IF008</t>
  </si>
  <si>
    <t>IF009</t>
  </si>
  <si>
    <t>IF010</t>
  </si>
  <si>
    <t>IF011</t>
  </si>
  <si>
    <t>IF012</t>
  </si>
  <si>
    <t>IF013</t>
  </si>
  <si>
    <t>IF014</t>
  </si>
  <si>
    <t>IF015</t>
  </si>
  <si>
    <t>IF016</t>
  </si>
  <si>
    <t>IF017</t>
  </si>
  <si>
    <t>IF018</t>
  </si>
  <si>
    <t>IF019</t>
  </si>
  <si>
    <t>IF020</t>
  </si>
  <si>
    <t>IF021</t>
  </si>
  <si>
    <t>IF022</t>
  </si>
  <si>
    <t>IF023</t>
  </si>
  <si>
    <t>IF024</t>
  </si>
  <si>
    <t>IF025</t>
  </si>
  <si>
    <t>IF026</t>
  </si>
  <si>
    <t>IF027</t>
  </si>
  <si>
    <t>IF028</t>
  </si>
  <si>
    <t>IF029</t>
  </si>
  <si>
    <t>IF030</t>
  </si>
  <si>
    <t>IF031</t>
  </si>
  <si>
    <t>IF032</t>
  </si>
  <si>
    <t>IF033</t>
  </si>
  <si>
    <t>IF034</t>
  </si>
  <si>
    <t>IF035</t>
  </si>
  <si>
    <t>IF036</t>
  </si>
  <si>
    <t>IF037</t>
  </si>
  <si>
    <t>IF038</t>
  </si>
  <si>
    <t>IF039</t>
  </si>
  <si>
    <t>IF040</t>
  </si>
  <si>
    <t>Count</t>
  </si>
  <si>
    <t>Operational</t>
  </si>
  <si>
    <t>In development</t>
  </si>
  <si>
    <t>Planned</t>
  </si>
  <si>
    <t>Batch</t>
  </si>
  <si>
    <t>Decommissioning</t>
  </si>
  <si>
    <t>Retired</t>
  </si>
  <si>
    <t>Source</t>
  </si>
  <si>
    <t>Destination</t>
  </si>
  <si>
    <t>Both</t>
  </si>
  <si>
    <t>ODBC</t>
  </si>
  <si>
    <t>Unknown</t>
  </si>
  <si>
    <t>RPC</t>
  </si>
  <si>
    <t>API</t>
  </si>
  <si>
    <t>CV041</t>
  </si>
  <si>
    <t>CV081</t>
  </si>
  <si>
    <t>CV042</t>
  </si>
  <si>
    <t>CV082</t>
  </si>
  <si>
    <t>CV043</t>
  </si>
  <si>
    <t>CV083</t>
  </si>
  <si>
    <t>CV044</t>
  </si>
  <si>
    <t>CV084</t>
  </si>
  <si>
    <t>CV045</t>
  </si>
  <si>
    <t>CV085</t>
  </si>
  <si>
    <t>CV046</t>
  </si>
  <si>
    <t>CV086</t>
  </si>
  <si>
    <t>CV047</t>
  </si>
  <si>
    <t>CV087</t>
  </si>
  <si>
    <t>CV048</t>
  </si>
  <si>
    <t>CV088</t>
  </si>
  <si>
    <t>CV049</t>
  </si>
  <si>
    <t>CV089</t>
  </si>
  <si>
    <t>CV050</t>
  </si>
  <si>
    <t>CV090</t>
  </si>
  <si>
    <t>CV051</t>
  </si>
  <si>
    <t>CV091</t>
  </si>
  <si>
    <t>CV052</t>
  </si>
  <si>
    <t>CV092</t>
  </si>
  <si>
    <t>CV053</t>
  </si>
  <si>
    <t>CV093</t>
  </si>
  <si>
    <t>CV054</t>
  </si>
  <si>
    <t>CV094</t>
  </si>
  <si>
    <t>CV055</t>
  </si>
  <si>
    <t>CV095</t>
  </si>
  <si>
    <t>CV056</t>
  </si>
  <si>
    <t>CV096</t>
  </si>
  <si>
    <t>CV057</t>
  </si>
  <si>
    <t>CV097</t>
  </si>
  <si>
    <t>CV058</t>
  </si>
  <si>
    <t>CV098</t>
  </si>
  <si>
    <t>CV059</t>
  </si>
  <si>
    <t>CV099</t>
  </si>
  <si>
    <t>CV060</t>
  </si>
  <si>
    <t>CV100</t>
  </si>
  <si>
    <t>CV061</t>
  </si>
  <si>
    <t>CV101</t>
  </si>
  <si>
    <t>CV062</t>
  </si>
  <si>
    <t>CV102</t>
  </si>
  <si>
    <t>CV063</t>
  </si>
  <si>
    <t>CV103</t>
  </si>
  <si>
    <t>CV064</t>
  </si>
  <si>
    <t>CV104</t>
  </si>
  <si>
    <t>CV065</t>
  </si>
  <si>
    <t>CV105</t>
  </si>
  <si>
    <t>CV066</t>
  </si>
  <si>
    <t>CV106</t>
  </si>
  <si>
    <t>CV067</t>
  </si>
  <si>
    <t>CV107</t>
  </si>
  <si>
    <t>CV068</t>
  </si>
  <si>
    <t>CV108</t>
  </si>
  <si>
    <t>CV069</t>
  </si>
  <si>
    <t>CV109</t>
  </si>
  <si>
    <t>CV070</t>
  </si>
  <si>
    <t>CV110</t>
  </si>
  <si>
    <t>CV071</t>
  </si>
  <si>
    <t>CV111</t>
  </si>
  <si>
    <t>CV072</t>
  </si>
  <si>
    <t>CV112</t>
  </si>
  <si>
    <t>CV073</t>
  </si>
  <si>
    <t>CV113</t>
  </si>
  <si>
    <t>CV074</t>
  </si>
  <si>
    <t>CV114</t>
  </si>
  <si>
    <t>CV075</t>
  </si>
  <si>
    <t>CV115</t>
  </si>
  <si>
    <t>CV076</t>
  </si>
  <si>
    <t>CV116</t>
  </si>
  <si>
    <t>CV077</t>
  </si>
  <si>
    <t>CV117</t>
  </si>
  <si>
    <t>CV078</t>
  </si>
  <si>
    <t>CV118</t>
  </si>
  <si>
    <t>CV079</t>
  </si>
  <si>
    <t>CV119</t>
  </si>
  <si>
    <t>CV080</t>
  </si>
  <si>
    <t>CV120</t>
  </si>
  <si>
    <t>Line1</t>
  </si>
  <si>
    <t>Line2</t>
  </si>
  <si>
    <t>_Initiator</t>
  </si>
  <si>
    <t>_Exchange</t>
  </si>
  <si>
    <t>_Type</t>
  </si>
  <si>
    <t>_ProtocolName</t>
  </si>
  <si>
    <t>_Protocol</t>
  </si>
  <si>
    <t>_Format</t>
  </si>
  <si>
    <t>_Status</t>
  </si>
  <si>
    <t>1-Way</t>
  </si>
  <si>
    <t>Parameters</t>
  </si>
  <si>
    <t>2-Way</t>
  </si>
  <si>
    <t>App-HTTP</t>
  </si>
  <si>
    <t>HTTP</t>
  </si>
  <si>
    <t>Object</t>
  </si>
  <si>
    <t>Real Time</t>
  </si>
  <si>
    <t>App-MQ</t>
  </si>
  <si>
    <t>MQ</t>
  </si>
  <si>
    <t>Manual</t>
  </si>
  <si>
    <t>App-REST</t>
  </si>
  <si>
    <t>REST</t>
  </si>
  <si>
    <t>JSON</t>
  </si>
  <si>
    <t>Multiple</t>
  </si>
  <si>
    <t>App-RPC</t>
  </si>
  <si>
    <t>CSV</t>
  </si>
  <si>
    <t>SOAP</t>
  </si>
  <si>
    <t>Tabular</t>
  </si>
  <si>
    <t>DB-ODBC</t>
  </si>
  <si>
    <t>Excel</t>
  </si>
  <si>
    <t>DB-RDBMS</t>
  </si>
  <si>
    <t>RDBMS</t>
  </si>
  <si>
    <t>Stream</t>
  </si>
  <si>
    <t>DB-SQL Server</t>
  </si>
  <si>
    <t>SQL</t>
  </si>
  <si>
    <t>File</t>
  </si>
  <si>
    <t>Email-IMAP</t>
  </si>
  <si>
    <t>IMAP</t>
  </si>
  <si>
    <t>Other</t>
  </si>
  <si>
    <t>Email-POP</t>
  </si>
  <si>
    <t>POP</t>
  </si>
  <si>
    <t>Email-SMTP</t>
  </si>
  <si>
    <t>SMTP</t>
  </si>
  <si>
    <t>File-NFS</t>
  </si>
  <si>
    <t>NFS</t>
  </si>
  <si>
    <t>File-SMB</t>
  </si>
  <si>
    <t>SMB</t>
  </si>
  <si>
    <t>File-CIFS</t>
  </si>
  <si>
    <t>CIFS</t>
  </si>
  <si>
    <t>File-FTP</t>
  </si>
  <si>
    <t>FTP</t>
  </si>
  <si>
    <t>File-SFTP</t>
  </si>
  <si>
    <t>SFTP</t>
  </si>
  <si>
    <t>IOT-AMQP</t>
  </si>
  <si>
    <t>AMQP</t>
  </si>
  <si>
    <t>IOT-DDS</t>
  </si>
  <si>
    <t>DDS</t>
  </si>
  <si>
    <t>IOT-XMPP</t>
  </si>
  <si>
    <t>XMPP</t>
  </si>
  <si>
    <t>IOT-MQTT</t>
  </si>
  <si>
    <t>MQTT</t>
  </si>
  <si>
    <t>Mobile-Apple</t>
  </si>
  <si>
    <t>Apple</t>
  </si>
  <si>
    <t>Mobile-Android</t>
  </si>
  <si>
    <t>Android</t>
  </si>
  <si>
    <t>Mobile-SMS</t>
  </si>
  <si>
    <t>SMS</t>
  </si>
  <si>
    <t>Mobile-iMessage</t>
  </si>
  <si>
    <t>iMsg</t>
  </si>
  <si>
    <t>Net-DHCP</t>
  </si>
  <si>
    <t>DHCP</t>
  </si>
  <si>
    <t>Net-DNS</t>
  </si>
  <si>
    <t>DNS</t>
  </si>
  <si>
    <t>Net-RDP</t>
  </si>
  <si>
    <t>RDP</t>
  </si>
  <si>
    <t>Net-TCP</t>
  </si>
  <si>
    <t>TCP</t>
  </si>
  <si>
    <t>Net-UDP</t>
  </si>
  <si>
    <t>UDP</t>
  </si>
  <si>
    <t>Security-CMP</t>
  </si>
  <si>
    <t>CMP</t>
  </si>
  <si>
    <t>Security-LDAP/Kerberos</t>
  </si>
  <si>
    <t>LDAP-KRB</t>
  </si>
  <si>
    <t>Security-Firewall</t>
  </si>
  <si>
    <t>TMG</t>
  </si>
  <si>
    <t>Other-Operator Entry</t>
  </si>
  <si>
    <t>OE</t>
  </si>
  <si>
    <t>Instructions:</t>
  </si>
  <si>
    <t>Data Entity Name</t>
  </si>
  <si>
    <t>Information Flow Description</t>
  </si>
  <si>
    <r>
      <rPr>
        <b/>
        <sz val="12"/>
        <color theme="1"/>
        <rFont val="Calibri"/>
        <family val="2"/>
        <scheme val="minor"/>
      </rPr>
      <t xml:space="preserve">DO NOT MODIFY - </t>
    </r>
    <r>
      <rPr>
        <sz val="12"/>
        <color theme="1"/>
        <rFont val="Calibri"/>
        <family val="2"/>
        <scheme val="minor"/>
      </rPr>
      <t xml:space="preserve">Used as a legend for the </t>
    </r>
    <r>
      <rPr>
        <b/>
        <sz val="12"/>
        <color theme="1"/>
        <rFont val="Calibri"/>
        <family val="2"/>
        <scheme val="minor"/>
      </rPr>
      <t>Application Interaction Model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Application Cooperation Diagram</t>
    </r>
    <r>
      <rPr>
        <sz val="12"/>
        <color theme="1"/>
        <rFont val="Calibri"/>
        <family val="2"/>
        <scheme val="minor"/>
      </rPr>
      <t xml:space="preserve"> changes to be manually updated.</t>
    </r>
  </si>
  <si>
    <r>
      <rPr>
        <b/>
        <sz val="12"/>
        <color theme="1"/>
        <rFont val="Calibri"/>
        <family val="2"/>
        <scheme val="minor"/>
      </rPr>
      <t xml:space="preserve">DO NOT MODIFY - </t>
    </r>
    <r>
      <rPr>
        <sz val="12"/>
        <color theme="1"/>
        <rFont val="Calibri"/>
        <family val="2"/>
        <scheme val="minor"/>
      </rPr>
      <t>Common lookup list values used throughout workbook and expected by Primary and Secondary tools.</t>
    </r>
  </si>
  <si>
    <t xml:space="preserve">Data Entity </t>
  </si>
  <si>
    <t>Data Entity Id</t>
  </si>
  <si>
    <t>DAT001</t>
  </si>
  <si>
    <t>DAT002</t>
  </si>
  <si>
    <t>DAT003</t>
  </si>
  <si>
    <t>DAT004</t>
  </si>
  <si>
    <t>DAT005</t>
  </si>
  <si>
    <t>DAT006</t>
  </si>
  <si>
    <t>DAT007</t>
  </si>
  <si>
    <t>DAT008</t>
  </si>
  <si>
    <t>DAT009</t>
  </si>
  <si>
    <t>DAT010</t>
  </si>
  <si>
    <t>DAT011</t>
  </si>
  <si>
    <t>DAT012</t>
  </si>
  <si>
    <t>DAT013</t>
  </si>
  <si>
    <t>DAT014</t>
  </si>
  <si>
    <t>DAT015</t>
  </si>
  <si>
    <t>DAT016</t>
  </si>
  <si>
    <t>DAT017</t>
  </si>
  <si>
    <t>DAT018</t>
  </si>
  <si>
    <t>DAT019</t>
  </si>
  <si>
    <t>DAT020</t>
  </si>
  <si>
    <t>DAT021</t>
  </si>
  <si>
    <t>DAT022</t>
  </si>
  <si>
    <t>DAT023</t>
  </si>
  <si>
    <t>DAT024</t>
  </si>
  <si>
    <t>DAT025</t>
  </si>
  <si>
    <t>DAT026</t>
  </si>
  <si>
    <t>DAT027</t>
  </si>
  <si>
    <t>DAT028</t>
  </si>
  <si>
    <t>DAT029</t>
  </si>
  <si>
    <t>DAT030</t>
  </si>
  <si>
    <t>DAT031</t>
  </si>
  <si>
    <t>DAT032</t>
  </si>
  <si>
    <t>DAT033</t>
  </si>
  <si>
    <t>DAT034</t>
  </si>
  <si>
    <t>DAT035</t>
  </si>
  <si>
    <t>DAT036</t>
  </si>
  <si>
    <t>DAT037</t>
  </si>
  <si>
    <t>DAT038</t>
  </si>
  <si>
    <t>DAT039</t>
  </si>
  <si>
    <t>DAT040</t>
  </si>
  <si>
    <t>DAT041</t>
  </si>
  <si>
    <t>DAT042</t>
  </si>
  <si>
    <t>DAT043</t>
  </si>
  <si>
    <t>DAT044</t>
  </si>
  <si>
    <t>DAT045</t>
  </si>
  <si>
    <t>DAT046</t>
  </si>
  <si>
    <t>DAT047</t>
  </si>
  <si>
    <t>DAT048</t>
  </si>
  <si>
    <t>DAT049</t>
  </si>
  <si>
    <t>DAT050</t>
  </si>
  <si>
    <r>
      <t xml:space="preserve">The </t>
    </r>
    <r>
      <rPr>
        <b/>
        <sz val="12"/>
        <color theme="1"/>
        <rFont val="Calibri"/>
        <family val="2"/>
        <scheme val="minor"/>
      </rPr>
      <t>Information Flow Catalogue</t>
    </r>
    <r>
      <rPr>
        <sz val="12"/>
        <color theme="1"/>
        <rFont val="Calibri"/>
        <family val="2"/>
        <scheme val="minor"/>
      </rPr>
      <t xml:space="preserve"> highlights the detail and complexity of the application landscape by capturing the type of interactions between applications. The interactions represented show the source and destination applications and the </t>
    </r>
    <r>
      <rPr>
        <b/>
        <sz val="12"/>
        <color theme="1"/>
        <rFont val="Calibri"/>
        <family val="2"/>
        <scheme val="minor"/>
      </rPr>
      <t>Data Entities</t>
    </r>
    <r>
      <rPr>
        <sz val="12"/>
        <color theme="1"/>
        <rFont val="Calibri"/>
        <family val="2"/>
        <scheme val="minor"/>
      </rPr>
      <t xml:space="preserve"> shared between them. </t>
    </r>
  </si>
  <si>
    <t>Logical Component Id</t>
  </si>
  <si>
    <t>Logical Component Name</t>
  </si>
  <si>
    <t>LAC001</t>
  </si>
  <si>
    <t>LTC001</t>
  </si>
  <si>
    <t>LAC002</t>
  </si>
  <si>
    <t>LTC002</t>
  </si>
  <si>
    <t>Logical app component name 1</t>
  </si>
  <si>
    <t>Logical app component name 2</t>
  </si>
  <si>
    <t>Logical technology component 1</t>
  </si>
  <si>
    <t>Logical technology component 2</t>
  </si>
  <si>
    <t>Entities</t>
  </si>
  <si>
    <r>
      <t xml:space="preserve">Entities sheet contains a copy of </t>
    </r>
    <r>
      <rPr>
        <b/>
        <sz val="12"/>
        <color theme="1"/>
        <rFont val="Calibri"/>
        <family val="2"/>
        <scheme val="minor"/>
      </rPr>
      <t>Data Entity</t>
    </r>
    <r>
      <rPr>
        <sz val="12"/>
        <color theme="1"/>
        <rFont val="Calibri"/>
        <family val="2"/>
        <scheme val="minor"/>
      </rPr>
      <t>,</t>
    </r>
    <r>
      <rPr>
        <b/>
        <sz val="12"/>
        <color theme="1"/>
        <rFont val="Calibri"/>
        <family val="2"/>
        <scheme val="minor"/>
      </rPr>
      <t xml:space="preserve"> Logical Application Component</t>
    </r>
    <r>
      <rPr>
        <sz val="12"/>
        <color theme="1"/>
        <rFont val="Calibri"/>
        <family val="2"/>
        <scheme val="minor"/>
      </rPr>
      <t xml:space="preserve"> and </t>
    </r>
    <r>
      <rPr>
        <b/>
        <sz val="12"/>
        <color theme="1"/>
        <rFont val="Calibri"/>
        <family val="2"/>
        <scheme val="minor"/>
      </rPr>
      <t>Logical Physical Component</t>
    </r>
    <r>
      <rPr>
        <sz val="12"/>
        <color theme="1"/>
        <rFont val="Calibri"/>
        <family val="2"/>
        <scheme val="minor"/>
      </rPr>
      <t xml:space="preserve"> records from </t>
    </r>
    <r>
      <rPr>
        <b/>
        <sz val="12"/>
        <color theme="1"/>
        <rFont val="Calibri"/>
        <family val="2"/>
        <scheme val="minor"/>
      </rPr>
      <t>BDAT-Catalog.xlsx</t>
    </r>
    <r>
      <rPr>
        <sz val="12"/>
        <color theme="1"/>
        <rFont val="Calibri"/>
        <family val="2"/>
        <scheme val="minor"/>
      </rPr>
      <t xml:space="preserve"> that aare part of the </t>
    </r>
    <r>
      <rPr>
        <b/>
        <sz val="12"/>
        <color theme="1"/>
        <rFont val="Calibri"/>
        <family val="2"/>
        <scheme val="minor"/>
      </rPr>
      <t>Information Flows</t>
    </r>
    <r>
      <rPr>
        <sz val="12"/>
        <color theme="1"/>
        <rFont val="Calibri"/>
        <family val="2"/>
        <scheme val="minor"/>
      </rPr>
      <t>.</t>
    </r>
  </si>
  <si>
    <r>
      <rPr>
        <b/>
        <sz val="12"/>
        <color theme="1"/>
        <rFont val="Calibri"/>
        <family val="2"/>
        <scheme val="minor"/>
      </rPr>
      <t xml:space="preserve">DO NOT MODIFY - </t>
    </r>
    <r>
      <rPr>
        <sz val="12"/>
        <color theme="1"/>
        <rFont val="Calibri"/>
        <family val="2"/>
        <scheme val="minor"/>
      </rPr>
      <t xml:space="preserve">Statistical data used within the </t>
    </r>
    <r>
      <rPr>
        <b/>
        <sz val="12"/>
        <color theme="1"/>
        <rFont val="Calibri"/>
        <family val="2"/>
        <scheme val="minor"/>
      </rPr>
      <t>Information Flow Catalog</t>
    </r>
    <r>
      <rPr>
        <sz val="12"/>
        <color theme="1"/>
        <rFont val="Calibri"/>
        <family val="2"/>
        <scheme val="minor"/>
      </rPr>
      <t xml:space="preserve"> drop downs, </t>
    </r>
    <r>
      <rPr>
        <b/>
        <sz val="12"/>
        <color theme="1"/>
        <rFont val="Calibri"/>
        <family val="2"/>
        <scheme val="minor"/>
      </rPr>
      <t>Applications</t>
    </r>
    <r>
      <rPr>
        <sz val="12"/>
        <color theme="1"/>
        <rFont val="Calibri"/>
        <family val="2"/>
        <scheme val="minor"/>
      </rPr>
      <t xml:space="preserve"> &amp; </t>
    </r>
    <r>
      <rPr>
        <b/>
        <sz val="12"/>
        <color theme="1"/>
        <rFont val="Calibri"/>
        <family val="2"/>
        <scheme val="minor"/>
      </rPr>
      <t>Data Entitiesto</t>
    </r>
    <r>
      <rPr>
        <sz val="12"/>
        <color theme="1"/>
        <rFont val="Calibri"/>
        <family val="2"/>
        <scheme val="minor"/>
      </rPr>
      <t xml:space="preserve"> to provide quick referenceable summary Information Flow data.</t>
    </r>
  </si>
  <si>
    <r>
      <rPr>
        <b/>
        <sz val="12"/>
        <color theme="1"/>
        <rFont val="Calibri"/>
        <family val="2"/>
        <scheme val="minor"/>
      </rPr>
      <t>DO NOT MODIFY</t>
    </r>
    <r>
      <rPr>
        <sz val="12"/>
        <color theme="1"/>
        <rFont val="Calibri"/>
        <family val="2"/>
        <scheme val="minor"/>
      </rPr>
      <t xml:space="preserve"> - This sheet extracts the concatenated </t>
    </r>
    <r>
      <rPr>
        <sz val="12"/>
        <color theme="1"/>
        <rFont val="Calibri"/>
        <family val="2"/>
        <scheme val="minor"/>
      </rPr>
      <t xml:space="preserve">data </t>
    </r>
    <r>
      <rPr>
        <sz val="12"/>
        <color theme="1"/>
        <rFont val="Calibri"/>
        <family val="2"/>
        <scheme val="minor"/>
      </rPr>
      <t xml:space="preserve">contained in the </t>
    </r>
    <r>
      <rPr>
        <b/>
        <sz val="12"/>
        <color theme="1"/>
        <rFont val="Calibri"/>
        <family val="2"/>
        <scheme val="minor"/>
      </rPr>
      <t xml:space="preserve">Information Flow Catalog </t>
    </r>
    <r>
      <rPr>
        <sz val="12"/>
        <color theme="1"/>
        <rFont val="Calibri"/>
        <family val="2"/>
        <scheme val="minor"/>
      </rPr>
      <t>sheet for exporting in a standard format.</t>
    </r>
  </si>
  <si>
    <t>Location Id</t>
  </si>
  <si>
    <t>Location Name</t>
  </si>
  <si>
    <t>LOC001</t>
  </si>
  <si>
    <t>LOC002</t>
  </si>
  <si>
    <t>LOC003</t>
  </si>
  <si>
    <t>LOC004</t>
  </si>
  <si>
    <t>LOC005</t>
  </si>
  <si>
    <t>LOC006</t>
  </si>
  <si>
    <t>LOC007</t>
  </si>
  <si>
    <t>LOC008</t>
  </si>
  <si>
    <t>LOC009</t>
  </si>
  <si>
    <t>LOC010</t>
  </si>
  <si>
    <t>LOC011</t>
  </si>
  <si>
    <t>LOC012</t>
  </si>
  <si>
    <t>LOC013</t>
  </si>
  <si>
    <t>LOC014</t>
  </si>
  <si>
    <t>LOC015</t>
  </si>
  <si>
    <t>LOC016</t>
  </si>
  <si>
    <t>LOC017</t>
  </si>
  <si>
    <t>LOC018</t>
  </si>
  <si>
    <t>LOC019</t>
  </si>
  <si>
    <t>LOC020</t>
  </si>
  <si>
    <t>Location 1</t>
  </si>
  <si>
    <t>Location 2</t>
  </si>
  <si>
    <t>Data Entity In 1</t>
  </si>
  <si>
    <t>Data Entity In 2</t>
  </si>
  <si>
    <t>Data Entity In 3</t>
  </si>
  <si>
    <t>Data Entity In 4</t>
  </si>
  <si>
    <t>Data Entity In 5</t>
  </si>
  <si>
    <t>Data Entity Out 1</t>
  </si>
  <si>
    <t>Data Entity Out 2</t>
  </si>
  <si>
    <t>Data Entity Out 3</t>
  </si>
  <si>
    <t>Data Entity Out 4</t>
  </si>
  <si>
    <t>Data Entity Out 5</t>
  </si>
  <si>
    <t>Notation</t>
  </si>
  <si>
    <t xml:space="preserve"> -&gt; </t>
  </si>
  <si>
    <t xml:space="preserve"> &lt;-&gt; </t>
  </si>
  <si>
    <t xml:space="preserve"> ?? </t>
  </si>
  <si>
    <t xml:space="preserve"> &lt;- </t>
  </si>
  <si>
    <t>Display Id</t>
  </si>
  <si>
    <t>Information Flow Catalog, V2.0</t>
  </si>
  <si>
    <t>Information Flow Catalog Guide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</si>
</sst>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rgb="FF7F7F7F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/>
  </cellStyleXfs>
  <cellXfs count="22">
    <xf numFmtId="0" fontId="0" fillId="0" borderId="0" xfId="0"/>
    <xf numFmtId="0" fontId="0" fillId="0" borderId="0" xfId="0" applyAlignment="1">
      <alignment vertical="top"/>
    </xf>
    <xf numFmtId="0" fontId="3" fillId="0" borderId="0" xfId="2" applyAlignment="1">
      <alignment vertical="top"/>
    </xf>
    <xf numFmtId="0" fontId="5" fillId="0" borderId="0" xfId="1" applyFont="1" applyAlignment="1">
      <alignment vertical="top"/>
    </xf>
    <xf numFmtId="0" fontId="0" fillId="0" borderId="0" xfId="0" applyAlignment="1">
      <alignment vertical="top" wrapText="1"/>
    </xf>
    <xf numFmtId="0" fontId="4" fillId="0" borderId="0" xfId="3" applyAlignment="1">
      <alignment vertical="top" wrapText="1"/>
    </xf>
    <xf numFmtId="0" fontId="0" fillId="0" borderId="0" xfId="0" applyAlignment="1">
      <alignment horizontal="left" vertical="top" wrapText="1"/>
    </xf>
    <xf numFmtId="0" fontId="4" fillId="2" borderId="0" xfId="3" applyFill="1" applyAlignment="1">
      <alignment vertical="top" wrapText="1"/>
    </xf>
    <xf numFmtId="0" fontId="4" fillId="3" borderId="0" xfId="3" applyFill="1" applyAlignment="1">
      <alignment vertical="top" wrapText="1"/>
    </xf>
    <xf numFmtId="0" fontId="0" fillId="5" borderId="0" xfId="0" applyFill="1" applyAlignment="1">
      <alignment vertical="top" wrapText="1"/>
    </xf>
    <xf numFmtId="0" fontId="0" fillId="6" borderId="0" xfId="0" applyFill="1" applyAlignment="1">
      <alignment vertical="top" wrapText="1"/>
    </xf>
    <xf numFmtId="0" fontId="6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0" fontId="4" fillId="0" borderId="0" xfId="3" applyAlignment="1">
      <alignment vertical="top"/>
    </xf>
    <xf numFmtId="0" fontId="0" fillId="4" borderId="0" xfId="0" applyFill="1" applyAlignment="1">
      <alignment vertical="top"/>
    </xf>
    <xf numFmtId="0" fontId="3" fillId="0" borderId="0" xfId="2" applyAlignment="1">
      <alignment horizontal="left" vertical="top"/>
    </xf>
    <xf numFmtId="0" fontId="0" fillId="7" borderId="1" xfId="4" applyNumberFormat="1" applyFont="1" applyFill="1" applyBorder="1" applyAlignment="1">
      <alignment wrapText="1"/>
    </xf>
    <xf numFmtId="0" fontId="0" fillId="0" borderId="0" xfId="0" applyNumberFormat="1" applyFont="1" applyFill="1" applyAlignment="1">
      <alignment horizontal="center" vertical="top"/>
    </xf>
    <xf numFmtId="0" fontId="4" fillId="8" borderId="0" xfId="3" applyFill="1" applyAlignment="1">
      <alignment vertical="top" wrapText="1"/>
    </xf>
    <xf numFmtId="0" fontId="8" fillId="0" borderId="0" xfId="0" applyNumberFormat="1" applyFont="1" applyAlignment="1">
      <alignment horizontal="center" vertical="top"/>
    </xf>
    <xf numFmtId="0" fontId="0" fillId="0" borderId="0" xfId="0" quotePrefix="1" applyAlignment="1">
      <alignment vertical="top"/>
    </xf>
  </cellXfs>
  <cellStyles count="5">
    <cellStyle name="Explanatory Text" xfId="2" builtinId="53"/>
    <cellStyle name="Hyperlink" xfId="3" builtinId="8"/>
    <cellStyle name="Normal" xfId="0" builtinId="0"/>
    <cellStyle name="Normal 2" xfId="4"/>
    <cellStyle name="Title" xfId="1" builtinId="15"/>
  </cellStyles>
  <dxfs count="11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</dxfs>
  <tableStyles count="0" defaultTableStyle="TableStyleMedium9" defaultPivotStyle="PivotStyleMedium7"/>
  <colors>
    <mruColors>
      <color rgb="FF3A397B"/>
      <color rgb="FF00A3E0"/>
      <color rgb="FF007096"/>
      <color rgb="FF002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4</xdr:row>
      <xdr:rowOff>190499</xdr:rowOff>
    </xdr:from>
    <xdr:to>
      <xdr:col>9</xdr:col>
      <xdr:colOff>801370</xdr:colOff>
      <xdr:row>8</xdr:row>
      <xdr:rowOff>109903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10788894" y="1077057"/>
          <a:ext cx="4486813" cy="110636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AU" sz="1100" b="1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During a Visio Refresh Data action, data within this template will overwrite any data manually entered into the Visio Data Shape form.</a:t>
          </a:r>
        </a:p>
        <a:p>
          <a:pPr marL="228600" indent="-228600">
            <a:buFont typeface="+mj-lt"/>
            <a:buAutoNum type="arabicPeriod"/>
          </a:pPr>
          <a:r>
            <a:rPr lang="en-AU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Modifying the sheet, table and column structure may break summary and graphs.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6</xdr:col>
      <xdr:colOff>19050</xdr:colOff>
      <xdr:row>23</xdr:row>
      <xdr:rowOff>11430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0" y="2773680"/>
          <a:ext cx="2975610" cy="1794510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en-AU" sz="11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WARNING: Non-modifiabl</a:t>
          </a:r>
          <a:r>
            <a:rPr lang="en-AU" sz="11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 Lists (Do not change without involving OMA as these values have dependencies within tools)</a:t>
          </a:r>
          <a:endParaRPr lang="en-AU" sz="1100" b="1" i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marL="171450" indent="-171450">
            <a:buFont typeface="Arial" panose="020B0604020202020204" pitchFamily="34" charset="0"/>
            <a:buChar char="•"/>
          </a:pPr>
          <a:r>
            <a:rPr lang="en-AU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_initiator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AU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_Exchange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AU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_Type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AU" sz="1100" b="0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_ProtocolName, _Protocol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AU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_Format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en-AU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_Status</a:t>
          </a:r>
          <a:endParaRPr lang="en-AU" sz="1100" b="0" i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100">
            <a:solidFill>
              <a:srgbClr val="FF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_Introduction" displayName="_Introduction" ref="B6:D14" totalsRowShown="0" headerRowDxfId="112" dataDxfId="111">
  <autoFilter ref="B6:D14"/>
  <tableColumns count="3">
    <tableColumn id="1" name="Worksheet Name" dataDxfId="110"/>
    <tableColumn id="3" name=" " dataDxfId="109"/>
    <tableColumn id="2" name="Purpose" dataDxfId="10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7" name="DataEntities" displayName="DataEntities" ref="A1:B51" totalsRowShown="0">
  <autoFilter ref="A1:B51"/>
  <tableColumns count="2">
    <tableColumn id="1" name="Data Entity Id"/>
    <tableColumn id="2" name="Data Entity Nam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9" name="LogComponents" displayName="LogComponents" ref="D1:E51" totalsRowShown="0">
  <autoFilter ref="D1:E51"/>
  <tableColumns count="2">
    <tableColumn id="1" name="Logical Component Id"/>
    <tableColumn id="2" name="Logical Component Name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22" name="Locations" displayName="Locations" ref="G1:H21" totalsRowShown="0">
  <autoFilter ref="G1:H21"/>
  <tableColumns count="2">
    <tableColumn id="1" name="Location Id"/>
    <tableColumn id="2" name="Location Nam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InfoFlow" displayName="InfoFlow" ref="A1:W41" totalsRowShown="0" headerRowDxfId="107" dataDxfId="106">
  <autoFilter ref="A1:W41"/>
  <tableColumns count="23">
    <tableColumn id="2" name="Info Flow Id" dataDxfId="105"/>
    <tableColumn id="19" name="Displayed Id" dataDxfId="104"/>
    <tableColumn id="3" name="Source Application" dataDxfId="103"/>
    <tableColumn id="4" name="Destination Application" dataDxfId="102"/>
    <tableColumn id="5" name="Data Entity In 1" dataDxfId="101"/>
    <tableColumn id="6" name="Data Entity In 2" dataDxfId="100"/>
    <tableColumn id="7" name="Data Entity In 3" dataDxfId="99"/>
    <tableColumn id="8" name="Data Entity In 4" dataDxfId="98"/>
    <tableColumn id="9" name="Data Entity In 5" dataDxfId="97"/>
    <tableColumn id="23" name="Data Entity Out 1" dataDxfId="96"/>
    <tableColumn id="22" name="Data Entity Out 2" dataDxfId="95"/>
    <tableColumn id="21" name="Data Entity Out 3" dataDxfId="94"/>
    <tableColumn id="20" name="Data Entity Out 4" dataDxfId="93"/>
    <tableColumn id="10" name="Data Entity Out 5" dataDxfId="92"/>
    <tableColumn id="11" name="Initiator" dataDxfId="91"/>
    <tableColumn id="12" name="Exchange" dataDxfId="90"/>
    <tableColumn id="13" name="Type" dataDxfId="89"/>
    <tableColumn id="14" name="Protocol Name" dataDxfId="88"/>
    <tableColumn id="18" name="Protocol" dataDxfId="87">
      <calculatedColumnFormula>VLOOKUP(InfoFlow[[#This Row],[Protocol Name]],Protocol[],2)</calculatedColumnFormula>
    </tableColumn>
    <tableColumn id="1" name="Format" dataDxfId="86"/>
    <tableColumn id="15" name="Status" dataDxfId="85"/>
    <tableColumn id="17" name="Location" dataDxfId="84"/>
    <tableColumn id="16" name="Description" dataDxfId="8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4" name="StatusTable" displayName="StatusTable" ref="B2:C7" totalsRowShown="0" headerRowDxfId="82" dataDxfId="81">
  <autoFilter ref="B2:C7"/>
  <tableColumns count="2">
    <tableColumn id="1" name="Status" dataDxfId="80"/>
    <tableColumn id="2" name="Count" dataDxfId="79">
      <calculatedColumnFormula>COUNTIF(InfoFlow[Status],StatusTable[Status])</calculatedColumnFormula>
    </tableColumn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id="15" name="InitiatorTable" displayName="InitiatorTable" ref="B10:C14" totalsRowShown="0" headerRowDxfId="78" dataDxfId="77">
  <autoFilter ref="B10:C14"/>
  <tableColumns count="2">
    <tableColumn id="1" name="Initiator" dataDxfId="76"/>
    <tableColumn id="2" name="Count" dataDxfId="75">
      <calculatedColumnFormula>COUNTIF(InfoFlow[Initiator],InitiatorTable[Initiator])</calculatedColumnFormula>
    </tableColumn>
  </tableColumns>
  <tableStyleInfo name="TableStyleMedium16" showFirstColumn="0" showLastColumn="0" showRowStripes="1" showColumnStripes="0"/>
</table>
</file>

<file path=xl/tables/table8.xml><?xml version="1.0" encoding="utf-8"?>
<table xmlns="http://schemas.openxmlformats.org/spreadsheetml/2006/main" id="16" name="ApplicationTable" displayName="ApplicationTable" ref="E2:F41" totalsRowShown="0" headerRowDxfId="74" dataDxfId="73">
  <autoFilter ref="E2:F41"/>
  <sortState ref="E3:F66">
    <sortCondition ref="E66"/>
  </sortState>
  <tableColumns count="2">
    <tableColumn id="1" name="Source Application" dataDxfId="72">
      <calculatedColumnFormula>Entities!E2</calculatedColumnFormula>
    </tableColumn>
    <tableColumn id="2" name="Count" dataDxfId="71">
      <calculatedColumnFormula>COUNTIF(InfoFlow[Source Application],ApplicationTable[Source Application])</calculatedColumnFormula>
    </tableColumn>
  </tableColumns>
  <tableStyleInfo name="TableStyleMedium16" showFirstColumn="0" showLastColumn="0" showRowStripes="1" showColumnStripes="0"/>
</table>
</file>

<file path=xl/tables/table9.xml><?xml version="1.0" encoding="utf-8"?>
<table xmlns="http://schemas.openxmlformats.org/spreadsheetml/2006/main" id="18" name="ProtocolTable" displayName="ProtocolTable" ref="N2:O38" totalsRowShown="0" headerRowDxfId="70" dataDxfId="69">
  <autoFilter ref="N2:O38"/>
  <tableColumns count="2">
    <tableColumn id="1" name="Protocol" dataDxfId="68">
      <calculatedColumnFormula>Lookups!I2</calculatedColumnFormula>
    </tableColumn>
    <tableColumn id="2" name="Count" dataDxfId="67">
      <calculatedColumnFormula>COUNTIF(InfoFlow[Protocol],ProtocolTable[Protocol])</calculatedColumnFormula>
    </tableColumn>
  </tableColumns>
  <tableStyleInfo name="TableStyleMedium16" showFirstColumn="0" showLastColumn="0" showRowStripes="1" showColumnStripes="0"/>
</table>
</file>

<file path=xl/tables/table10.xml><?xml version="1.0" encoding="utf-8"?>
<table xmlns="http://schemas.openxmlformats.org/spreadsheetml/2006/main" id="20" name="ApplicationTable21" displayName="ApplicationTable21" ref="H2:I41" totalsRowShown="0" headerRowDxfId="66" dataDxfId="65">
  <autoFilter ref="H2:I41"/>
  <sortState ref="H3:I66">
    <sortCondition ref="H66"/>
  </sortState>
  <tableColumns count="2">
    <tableColumn id="1" name="Destination Application" dataDxfId="64">
      <calculatedColumnFormula>Entities!E2</calculatedColumnFormula>
    </tableColumn>
    <tableColumn id="2" name="Count" dataDxfId="63">
      <calculatedColumnFormula>COUNTIF(InfoFlow[Destination Application],ApplicationTable21[Destination Application])</calculatedColumnFormula>
    </tableColumn>
  </tableColumns>
  <tableStyleInfo name="TableStyleMedium16" showFirstColumn="0" showLastColumn="0" showRowStripes="1" showColumnStripes="0"/>
</table>
</file>

<file path=xl/tables/table11.xml><?xml version="1.0" encoding="utf-8"?>
<table xmlns="http://schemas.openxmlformats.org/spreadsheetml/2006/main" id="21" name="Table21" displayName="Table21" ref="K2:L51" totalsRowShown="0" headerRowDxfId="62" dataDxfId="61">
  <autoFilter ref="K2:L51"/>
  <tableColumns count="2">
    <tableColumn id="1" name="Data Entity " dataDxfId="60">
      <calculatedColumnFormula>Entities!B2</calculatedColumnFormula>
    </tableColumn>
    <tableColumn id="2" name="Count" dataDxfId="59">
      <calculatedColumnFormula>COUNTIF(InfoFlow[Data Entity In 1],Table21[[Data Entity ]])</calculatedColumnFormula>
    </tableColumn>
  </tableColumns>
  <tableStyleInfo name="TableStyleMedium16" showFirstColumn="0" showLastColumn="0" showRowStripes="1" showColumnStripes="0"/>
</table>
</file>

<file path=xl/tables/table12.xml><?xml version="1.0" encoding="utf-8"?>
<table xmlns="http://schemas.openxmlformats.org/spreadsheetml/2006/main" id="3" name="Table3" displayName="Table3" ref="Q2:R13" totalsRowShown="0" headerRowDxfId="58" dataDxfId="57">
  <autoFilter ref="Q2:R13"/>
  <tableColumns count="2">
    <tableColumn id="1" name="Format" dataDxfId="56">
      <calculatedColumnFormula>Lookups!K2</calculatedColumnFormula>
    </tableColumn>
    <tableColumn id="2" name="Count" dataDxfId="55">
      <calculatedColumnFormula>COUNTIF(InfoFlow[Format],Table3[Format])</calculatedColumnFormula>
    </tableColumn>
  </tableColumns>
  <tableStyleInfo name="TableStyleMedium16" showFirstColumn="0" showLastColumn="0" showRowStripes="1" showColumnStripes="0"/>
</table>
</file>

<file path=xl/tables/table13.xml><?xml version="1.0" encoding="utf-8"?>
<table xmlns="http://schemas.openxmlformats.org/spreadsheetml/2006/main" id="23" name="Table23" displayName="Table23" ref="T2:U21" totalsRowShown="0" headerRowDxfId="54" dataDxfId="53">
  <autoFilter ref="T2:U21"/>
  <tableColumns count="2">
    <tableColumn id="1" name="Location" dataDxfId="52">
      <calculatedColumnFormula>Entities!H2</calculatedColumnFormula>
    </tableColumn>
    <tableColumn id="2" name="Count" dataDxfId="51">
      <calculatedColumnFormula>COUNTIF(InfoFlow[Location],Table23[Location])</calculatedColumnFormula>
    </tableColumn>
  </tableColumns>
  <tableStyleInfo name="TableStyleMedium16" showFirstColumn="0" showLastColumn="0" showRowStripes="1" showColumnStripes="0"/>
</table>
</file>

<file path=xl/tables/table14.xml><?xml version="1.0" encoding="utf-8"?>
<table xmlns="http://schemas.openxmlformats.org/spreadsheetml/2006/main" id="6" name="InfoFlowVisuals1" displayName="InfoFlowVisuals1" ref="A1:C41" totalsRowShown="0" headerRowDxfId="50" dataDxfId="49">
  <autoFilter ref="A1:C41"/>
  <tableColumns count="3">
    <tableColumn id="1" name="Info Flow Id" dataDxfId="48"/>
    <tableColumn id="3" name="Display Id" dataDxfId="47">
      <calculatedColumnFormula>VLOOKUP(InfoFlowVisuals1[[#This Row],[Info Flow Id]],InfoFlow[[Info Flow Id]:[Source Application]],2,FALSE)</calculatedColumnFormula>
    </tableColumn>
    <tableColumn id="2" name="Information Flow Description" dataDxfId="46">
      <calculatedColumnFormula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2" name="InfoFlowVisuals2" displayName="InfoFlowVisuals2" ref="E1:G41" totalsRowShown="0" headerRowDxfId="45" dataDxfId="44">
  <autoFilter ref="E1:G41"/>
  <tableColumns count="3">
    <tableColumn id="1" name="Info Flow Id" dataDxfId="43"/>
    <tableColumn id="3" name="Display Id" dataDxfId="42">
      <calculatedColumnFormula>VLOOKUP(InfoFlowVisuals2[[#This Row],[Info Flow Id]],InfoFlow[[Info Flow Id]:[Source Application]],2,FALSE)</calculatedColumnFormula>
    </tableColumn>
    <tableColumn id="2" name="Information Flow Description" dataDxfId="41">
      <calculatedColumnFormula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3" name="InfoFlowVisuals3" displayName="InfoFlowVisuals3" ref="I1:K41" totalsRowShown="0" headerRowDxfId="40" dataDxfId="39">
  <autoFilter ref="I1:K41"/>
  <tableColumns count="3">
    <tableColumn id="1" name="Info Flow Id" dataDxfId="38"/>
    <tableColumn id="3" name="Display Id" dataDxfId="37">
      <calculatedColumnFormula>VLOOKUP(InfoFlowVisuals3[[#This Row],[Info Flow Id]],InfoFlow[[Info Flow Id]:[Source Application]],2,FALSE)</calculatedColumnFormula>
    </tableColumn>
    <tableColumn id="2" name="Information Flow Description" dataDxfId="36">
      <calculatedColumnFormula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4" name="DataExport" displayName="DataExport" ref="A1:N11" totalsRowShown="0" headerRowDxfId="35" dataDxfId="34">
  <autoFilter ref="A1:N11"/>
  <tableColumns count="14">
    <tableColumn id="1" name="Info Flow Id" dataDxfId="33">
      <calculatedColumnFormula>IFERROR(InfoFlow[[#This Row],[Info Flow Id]],"")</calculatedColumnFormula>
    </tableColumn>
    <tableColumn id="2" name="Displayed Id" dataDxfId="32">
      <calculatedColumnFormula>IFERROR(InfoFlow[[#This Row],[Displayed Id]],"")</calculatedColumnFormula>
    </tableColumn>
    <tableColumn id="3" name="Source Application" dataDxfId="31">
      <calculatedColumnFormula>IFERROR(InfoFlow[[#This Row],[Source Application]],"")</calculatedColumnFormula>
    </tableColumn>
    <tableColumn id="4" name="Destination Application" dataDxfId="30">
      <calculatedColumnFormula>IFERROR(InfoFlow[[#This Row],[Destination Application]],"")</calculatedColumnFormula>
    </tableColumn>
    <tableColumn id="5" name="Line1" dataDxfId="29">
      <calculatedColumnFormula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calculatedColumnFormula>
    </tableColumn>
    <tableColumn id="6" name="Line2" dataDxfId="28">
      <calculatedColumnFormula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calculatedColumnFormula>
    </tableColumn>
    <tableColumn id="7" name="Initiator" dataDxfId="27">
      <calculatedColumnFormula>INDEX(InfoFlow[Initiator],MATCH(DataExport[[#This Row],[Info Flow Id]],InfoFlow[Info Flow Id],0))</calculatedColumnFormula>
    </tableColumn>
    <tableColumn id="8" name="Exchange" dataDxfId="26">
      <calculatedColumnFormula>INDEX(InfoFlow[Exchange],MATCH(DataExport[[#This Row],[Info Flow Id]],InfoFlow[Info Flow Id],0))</calculatedColumnFormula>
    </tableColumn>
    <tableColumn id="9" name="Type" dataDxfId="25">
      <calculatedColumnFormula>INDEX(InfoFlow[Type],MATCH(DataExport[[#This Row],[Info Flow Id]],InfoFlow[Info Flow Id],0))</calculatedColumnFormula>
    </tableColumn>
    <tableColumn id="10" name="Protocol Name" dataDxfId="24">
      <calculatedColumnFormula>INDEX(InfoFlow[Protocol Name],MATCH(DataExport[[#This Row],[Info Flow Id]],InfoFlow[Info Flow Id],0))</calculatedColumnFormula>
    </tableColumn>
    <tableColumn id="12" name="Format" dataDxfId="23">
      <calculatedColumnFormula>INDEX(InfoFlow[Format],MATCH(DataExport[[#This Row],[Info Flow Id]],InfoFlow[Info Flow Id],0))</calculatedColumnFormula>
    </tableColumn>
    <tableColumn id="11" name="Status" dataDxfId="22">
      <calculatedColumnFormula>INDEX(InfoFlow[Status],MATCH(DataExport[[#This Row],[Info Flow Id]],InfoFlow[Info Flow Id],0))</calculatedColumnFormula>
    </tableColumn>
    <tableColumn id="13" name="Description" dataDxfId="21">
      <calculatedColumnFormula>INDEX(InfoFlow[Description],MATCH(DataExport[[#This Row],[Info Flow Id]],InfoFlow[Info Flow Id],0))</calculatedColumnFormula>
    </tableColumn>
    <tableColumn id="14" name="Location" dataDxfId="20">
      <calculatedColumnFormula>INDEX(InfoFlow[Location],MATCH(DataExport[[#This Row],[Info Flow Id]],InfoFlow[Info Flow Id],0))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id="5" name="Initiator" displayName="Initiator" ref="A1:B5" totalsRowShown="0" headerRowDxfId="19" dataDxfId="18">
  <autoFilter ref="A1:B5"/>
  <tableColumns count="2">
    <tableColumn id="1" name="_Initiator" dataDxfId="17"/>
    <tableColumn id="2" name="Notation" dataDxfId="16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8" name="ExchangeLIst" displayName="ExchangeLIst" ref="D1:D3" totalsRowShown="0" headerRowDxfId="15" dataDxfId="14">
  <autoFilter ref="D1:D3"/>
  <tableColumns count="1">
    <tableColumn id="1" name="_Exchange" dataDxfId="13"/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id="9" name="Type" displayName="Type" ref="F1:F7" totalsRowShown="0" headerRowDxfId="12" dataDxfId="11">
  <autoFilter ref="F1:F7"/>
  <tableColumns count="1">
    <tableColumn id="1" name="_Type" dataDxfId="10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10" name="Protocol" displayName="Protocol" ref="H1:I37" totalsRowShown="0" headerRowDxfId="9" dataDxfId="8">
  <autoFilter ref="H1:I37"/>
  <sortState ref="I2:I19">
    <sortCondition ref="I2:I19"/>
  </sortState>
  <tableColumns count="2">
    <tableColumn id="2" name="_ProtocolName" dataDxfId="7"/>
    <tableColumn id="1" name="_Protocol" dataDxfId="6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11" name="Status" displayName="Status" ref="M1:M6" totalsRowShown="0" headerRowDxfId="5" dataDxfId="4">
  <autoFilter ref="M1:M6"/>
  <tableColumns count="1">
    <tableColumn id="1" name="_Status" dataDxfId="3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7" name="Formats" displayName="Formats" ref="K1:K12" totalsRowShown="0" headerRowDxfId="2" dataDxfId="1">
  <autoFilter ref="K1:K12"/>
  <tableColumns count="1">
    <tableColumn id="1" name="_Forma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shareteam2.na.xom.com/sites/at/ea/Shared%20Documents/EM%20Architecture%20Framework/Architecture%20Guidelines%20Techniques/EMAF%20Artifact%20Guides/Information-Flow-Catalog-Guide.docx?d=w009cff604bd34032aa97c66c2341f7a0" TargetMode="Externa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B2:D14"/>
  <sheetViews>
    <sheetView showGridLines="0" tabSelected="1" zoomScale="104" zoomScaleNormal="104" workbookViewId="0">
      <selection activeCell="A4" sqref="A4"/>
    </sheetView>
  </sheetViews>
  <sheetFormatPr defaultColWidth="11.25" defaultRowHeight="15.5" x14ac:dyDescent="0.35"/>
  <cols>
    <col min="1" max="1" width="4.58203125" style="1" customWidth="1"/>
    <col min="2" max="2" width="30.58203125" style="1" customWidth="1"/>
    <col min="3" max="3" width="4.58203125" style="1" customWidth="1"/>
    <col min="4" max="4" width="85.58203125" style="1" customWidth="1"/>
    <col min="5" max="5" width="4.58203125" style="1" customWidth="1"/>
    <col min="6" max="16384" width="11.25" style="1"/>
  </cols>
  <sheetData>
    <row r="2" spans="2:4" ht="23.5" x14ac:dyDescent="0.35">
      <c r="B2" s="3" t="s">
        <v>0</v>
      </c>
    </row>
    <row r="3" spans="2:4" x14ac:dyDescent="0.35">
      <c r="D3" s="16" t="s">
        <v>255</v>
      </c>
    </row>
    <row r="4" spans="2:4" x14ac:dyDescent="0.35">
      <c r="B4" s="2" t="s">
        <v>367</v>
      </c>
      <c r="D4" s="14" t="s">
        <v>368</v>
      </c>
    </row>
    <row r="6" spans="2:4" x14ac:dyDescent="0.35">
      <c r="B6" s="4" t="s">
        <v>1</v>
      </c>
      <c r="C6" s="4" t="s">
        <v>2</v>
      </c>
      <c r="D6" s="4" t="s">
        <v>3</v>
      </c>
    </row>
    <row r="7" spans="2:4" x14ac:dyDescent="0.35">
      <c r="B7" s="4" t="s">
        <v>4</v>
      </c>
      <c r="C7" s="8"/>
      <c r="D7" s="4" t="s">
        <v>5</v>
      </c>
    </row>
    <row r="8" spans="2:4" ht="31" x14ac:dyDescent="0.35">
      <c r="B8" s="14" t="s">
        <v>323</v>
      </c>
      <c r="C8" s="19"/>
      <c r="D8" s="4" t="s">
        <v>324</v>
      </c>
    </row>
    <row r="9" spans="2:4" ht="46.5" x14ac:dyDescent="0.35">
      <c r="B9" s="14" t="s">
        <v>6</v>
      </c>
      <c r="C9" s="15"/>
      <c r="D9" s="4" t="s">
        <v>312</v>
      </c>
    </row>
    <row r="10" spans="2:4" ht="31" x14ac:dyDescent="0.35">
      <c r="B10" s="5" t="s">
        <v>7</v>
      </c>
      <c r="C10" s="10"/>
      <c r="D10" s="4" t="s">
        <v>325</v>
      </c>
    </row>
    <row r="11" spans="2:4" ht="31" x14ac:dyDescent="0.35">
      <c r="B11" s="5" t="s">
        <v>8</v>
      </c>
      <c r="C11" s="10"/>
      <c r="D11" s="4" t="s">
        <v>258</v>
      </c>
    </row>
    <row r="12" spans="2:4" ht="31" x14ac:dyDescent="0.35">
      <c r="B12" s="5" t="s">
        <v>9</v>
      </c>
      <c r="C12" s="9"/>
      <c r="D12" s="17" t="s">
        <v>326</v>
      </c>
    </row>
    <row r="13" spans="2:4" x14ac:dyDescent="0.35">
      <c r="B13" s="4"/>
      <c r="C13" s="4"/>
      <c r="D13" s="4"/>
    </row>
    <row r="14" spans="2:4" ht="31" x14ac:dyDescent="0.35">
      <c r="B14" s="5" t="s">
        <v>10</v>
      </c>
      <c r="C14" s="7"/>
      <c r="D14" s="4" t="s">
        <v>259</v>
      </c>
    </row>
  </sheetData>
  <phoneticPr fontId="1" type="noConversion"/>
  <hyperlinks>
    <hyperlink ref="B14" location="Lookups!A1" display="Lookups"/>
    <hyperlink ref="B9" location="'Information Flow Catalogue'!A1" display="Information Flow Catalogue"/>
    <hyperlink ref="B10" location="Statistics!A1" display="Statistics"/>
    <hyperlink ref="B12" location="'IF Data Export'!A1" display="IF Data Export"/>
    <hyperlink ref="B11" location="'IF Visual (Static)'!A1" display="Information Flow Visual (Static)"/>
    <hyperlink ref="B8" location="Entities!A1" display="Entities"/>
    <hyperlink ref="D4" r:id="rId1"/>
  </hyperlinks>
  <pageMargins left="0.25" right="0.25" top="0.75" bottom="0.75" header="0.3" footer="0.3"/>
  <pageSetup orientation="landscape" r:id="rId2"/>
  <headerFooter>
    <oddHeader>&amp;L&amp;"EMprint Regular,Regular"&amp;16&amp;K3A397BTitle&amp;R&amp;G</oddHeader>
  </headerFooter>
  <drawing r:id="rId3"/>
  <tableParts count="1">
    <tablePart r:id="rId4"/>
  </tableParts>
  <extLst>
    <ext xmlns:mx="http://schemas.microsoft.com/office/mac/excel/2008/main" uri="{64002731-A6B0-56B0-2670-7721B7C09600}">
      <mx:PLV Mode="1" OnePage="0" WScale="10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4.9989318521683403E-2"/>
  </sheetPr>
  <dimension ref="A1:H51"/>
  <sheetViews>
    <sheetView workbookViewId="0">
      <pane ySplit="1" topLeftCell="A2" activePane="bottomLeft" state="frozen"/>
      <selection pane="bottomLeft" activeCell="B13" sqref="B13"/>
    </sheetView>
  </sheetViews>
  <sheetFormatPr defaultRowHeight="15.5" x14ac:dyDescent="0.35"/>
  <cols>
    <col min="1" max="1" width="14.4140625" customWidth="1"/>
    <col min="2" max="2" width="40.58203125" customWidth="1"/>
    <col min="3" max="3" width="4.58203125" customWidth="1"/>
    <col min="4" max="4" width="22.6640625" customWidth="1"/>
    <col min="5" max="5" width="40.58203125" customWidth="1"/>
    <col min="6" max="6" width="4.58203125" customWidth="1"/>
    <col min="7" max="7" width="13.1640625" customWidth="1"/>
    <col min="8" max="8" width="40.58203125" customWidth="1"/>
  </cols>
  <sheetData>
    <row r="1" spans="1:8" x14ac:dyDescent="0.35">
      <c r="A1" t="s">
        <v>261</v>
      </c>
      <c r="B1" t="s">
        <v>256</v>
      </c>
      <c r="D1" t="s">
        <v>313</v>
      </c>
      <c r="E1" t="s">
        <v>314</v>
      </c>
      <c r="G1" t="s">
        <v>327</v>
      </c>
      <c r="H1" t="s">
        <v>328</v>
      </c>
    </row>
    <row r="2" spans="1:8" x14ac:dyDescent="0.35">
      <c r="A2" t="s">
        <v>262</v>
      </c>
      <c r="B2" t="s">
        <v>15</v>
      </c>
      <c r="D2" t="s">
        <v>315</v>
      </c>
      <c r="E2" t="s">
        <v>319</v>
      </c>
      <c r="G2" t="s">
        <v>329</v>
      </c>
      <c r="H2" t="s">
        <v>349</v>
      </c>
    </row>
    <row r="3" spans="1:8" x14ac:dyDescent="0.35">
      <c r="A3" t="s">
        <v>263</v>
      </c>
      <c r="B3" t="s">
        <v>16</v>
      </c>
      <c r="D3" t="s">
        <v>317</v>
      </c>
      <c r="E3" t="s">
        <v>320</v>
      </c>
      <c r="G3" t="s">
        <v>330</v>
      </c>
      <c r="H3" t="s">
        <v>350</v>
      </c>
    </row>
    <row r="4" spans="1:8" x14ac:dyDescent="0.35">
      <c r="A4" t="s">
        <v>264</v>
      </c>
      <c r="B4" t="s">
        <v>17</v>
      </c>
      <c r="D4" t="s">
        <v>316</v>
      </c>
      <c r="E4" t="s">
        <v>321</v>
      </c>
      <c r="G4" t="s">
        <v>331</v>
      </c>
    </row>
    <row r="5" spans="1:8" x14ac:dyDescent="0.35">
      <c r="A5" t="s">
        <v>265</v>
      </c>
      <c r="B5" t="s">
        <v>18</v>
      </c>
      <c r="D5" t="s">
        <v>318</v>
      </c>
      <c r="E5" t="s">
        <v>322</v>
      </c>
      <c r="G5" t="s">
        <v>332</v>
      </c>
    </row>
    <row r="6" spans="1:8" x14ac:dyDescent="0.35">
      <c r="A6" t="s">
        <v>266</v>
      </c>
      <c r="B6" t="s">
        <v>19</v>
      </c>
      <c r="G6" t="s">
        <v>333</v>
      </c>
    </row>
    <row r="7" spans="1:8" x14ac:dyDescent="0.35">
      <c r="A7" t="s">
        <v>267</v>
      </c>
      <c r="B7" t="s">
        <v>20</v>
      </c>
      <c r="G7" t="s">
        <v>334</v>
      </c>
    </row>
    <row r="8" spans="1:8" x14ac:dyDescent="0.35">
      <c r="A8" t="s">
        <v>268</v>
      </c>
      <c r="G8" t="s">
        <v>335</v>
      </c>
    </row>
    <row r="9" spans="1:8" x14ac:dyDescent="0.35">
      <c r="A9" t="s">
        <v>269</v>
      </c>
      <c r="G9" t="s">
        <v>336</v>
      </c>
    </row>
    <row r="10" spans="1:8" x14ac:dyDescent="0.35">
      <c r="A10" t="s">
        <v>270</v>
      </c>
      <c r="G10" t="s">
        <v>337</v>
      </c>
    </row>
    <row r="11" spans="1:8" x14ac:dyDescent="0.35">
      <c r="A11" t="s">
        <v>271</v>
      </c>
      <c r="G11" t="s">
        <v>338</v>
      </c>
    </row>
    <row r="12" spans="1:8" x14ac:dyDescent="0.35">
      <c r="A12" t="s">
        <v>272</v>
      </c>
      <c r="G12" t="s">
        <v>339</v>
      </c>
    </row>
    <row r="13" spans="1:8" x14ac:dyDescent="0.35">
      <c r="A13" t="s">
        <v>273</v>
      </c>
      <c r="G13" t="s">
        <v>340</v>
      </c>
    </row>
    <row r="14" spans="1:8" x14ac:dyDescent="0.35">
      <c r="A14" t="s">
        <v>274</v>
      </c>
      <c r="G14" t="s">
        <v>341</v>
      </c>
    </row>
    <row r="15" spans="1:8" x14ac:dyDescent="0.35">
      <c r="A15" t="s">
        <v>275</v>
      </c>
      <c r="G15" t="s">
        <v>342</v>
      </c>
    </row>
    <row r="16" spans="1:8" x14ac:dyDescent="0.35">
      <c r="A16" t="s">
        <v>276</v>
      </c>
      <c r="G16" t="s">
        <v>343</v>
      </c>
    </row>
    <row r="17" spans="1:7" x14ac:dyDescent="0.35">
      <c r="A17" t="s">
        <v>277</v>
      </c>
      <c r="G17" t="s">
        <v>344</v>
      </c>
    </row>
    <row r="18" spans="1:7" x14ac:dyDescent="0.35">
      <c r="A18" t="s">
        <v>278</v>
      </c>
      <c r="G18" t="s">
        <v>345</v>
      </c>
    </row>
    <row r="19" spans="1:7" x14ac:dyDescent="0.35">
      <c r="A19" t="s">
        <v>279</v>
      </c>
      <c r="G19" t="s">
        <v>346</v>
      </c>
    </row>
    <row r="20" spans="1:7" x14ac:dyDescent="0.35">
      <c r="A20" t="s">
        <v>280</v>
      </c>
      <c r="G20" t="s">
        <v>347</v>
      </c>
    </row>
    <row r="21" spans="1:7" x14ac:dyDescent="0.35">
      <c r="A21" t="s">
        <v>281</v>
      </c>
      <c r="G21" t="s">
        <v>348</v>
      </c>
    </row>
    <row r="22" spans="1:7" x14ac:dyDescent="0.35">
      <c r="A22" t="s">
        <v>282</v>
      </c>
    </row>
    <row r="23" spans="1:7" x14ac:dyDescent="0.35">
      <c r="A23" t="s">
        <v>283</v>
      </c>
    </row>
    <row r="24" spans="1:7" x14ac:dyDescent="0.35">
      <c r="A24" t="s">
        <v>284</v>
      </c>
    </row>
    <row r="25" spans="1:7" x14ac:dyDescent="0.35">
      <c r="A25" t="s">
        <v>285</v>
      </c>
    </row>
    <row r="26" spans="1:7" x14ac:dyDescent="0.35">
      <c r="A26" t="s">
        <v>286</v>
      </c>
    </row>
    <row r="27" spans="1:7" x14ac:dyDescent="0.35">
      <c r="A27" t="s">
        <v>287</v>
      </c>
    </row>
    <row r="28" spans="1:7" x14ac:dyDescent="0.35">
      <c r="A28" t="s">
        <v>288</v>
      </c>
    </row>
    <row r="29" spans="1:7" x14ac:dyDescent="0.35">
      <c r="A29" t="s">
        <v>289</v>
      </c>
    </row>
    <row r="30" spans="1:7" x14ac:dyDescent="0.35">
      <c r="A30" t="s">
        <v>290</v>
      </c>
    </row>
    <row r="31" spans="1:7" x14ac:dyDescent="0.35">
      <c r="A31" t="s">
        <v>291</v>
      </c>
    </row>
    <row r="32" spans="1:7" x14ac:dyDescent="0.35">
      <c r="A32" t="s">
        <v>292</v>
      </c>
    </row>
    <row r="33" spans="1:1" x14ac:dyDescent="0.35">
      <c r="A33" t="s">
        <v>293</v>
      </c>
    </row>
    <row r="34" spans="1:1" x14ac:dyDescent="0.35">
      <c r="A34" t="s">
        <v>294</v>
      </c>
    </row>
    <row r="35" spans="1:1" x14ac:dyDescent="0.35">
      <c r="A35" t="s">
        <v>295</v>
      </c>
    </row>
    <row r="36" spans="1:1" x14ac:dyDescent="0.35">
      <c r="A36" t="s">
        <v>296</v>
      </c>
    </row>
    <row r="37" spans="1:1" x14ac:dyDescent="0.35">
      <c r="A37" t="s">
        <v>297</v>
      </c>
    </row>
    <row r="38" spans="1:1" x14ac:dyDescent="0.35">
      <c r="A38" t="s">
        <v>298</v>
      </c>
    </row>
    <row r="39" spans="1:1" x14ac:dyDescent="0.35">
      <c r="A39" t="s">
        <v>299</v>
      </c>
    </row>
    <row r="40" spans="1:1" x14ac:dyDescent="0.35">
      <c r="A40" t="s">
        <v>300</v>
      </c>
    </row>
    <row r="41" spans="1:1" x14ac:dyDescent="0.35">
      <c r="A41" t="s">
        <v>301</v>
      </c>
    </row>
    <row r="42" spans="1:1" x14ac:dyDescent="0.35">
      <c r="A42" t="s">
        <v>302</v>
      </c>
    </row>
    <row r="43" spans="1:1" x14ac:dyDescent="0.35">
      <c r="A43" t="s">
        <v>303</v>
      </c>
    </row>
    <row r="44" spans="1:1" x14ac:dyDescent="0.35">
      <c r="A44" t="s">
        <v>304</v>
      </c>
    </row>
    <row r="45" spans="1:1" x14ac:dyDescent="0.35">
      <c r="A45" t="s">
        <v>305</v>
      </c>
    </row>
    <row r="46" spans="1:1" x14ac:dyDescent="0.35">
      <c r="A46" t="s">
        <v>306</v>
      </c>
    </row>
    <row r="47" spans="1:1" x14ac:dyDescent="0.35">
      <c r="A47" t="s">
        <v>307</v>
      </c>
    </row>
    <row r="48" spans="1:1" x14ac:dyDescent="0.35">
      <c r="A48" t="s">
        <v>308</v>
      </c>
    </row>
    <row r="49" spans="1:1" x14ac:dyDescent="0.35">
      <c r="A49" t="s">
        <v>309</v>
      </c>
    </row>
    <row r="50" spans="1:1" x14ac:dyDescent="0.35">
      <c r="A50" t="s">
        <v>310</v>
      </c>
    </row>
    <row r="51" spans="1:1" x14ac:dyDescent="0.35">
      <c r="A51" t="s">
        <v>311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-0.249977111117893"/>
  </sheetPr>
  <dimension ref="A1:X41"/>
  <sheetViews>
    <sheetView showGridLines="0" zoomScale="110" zoomScaleNormal="110" workbookViewId="0">
      <pane ySplit="1" topLeftCell="A2" activePane="bottomLeft" state="frozen"/>
      <selection pane="bottomLeft" activeCell="A2" sqref="A2"/>
    </sheetView>
  </sheetViews>
  <sheetFormatPr defaultColWidth="11.25" defaultRowHeight="15.5" x14ac:dyDescent="0.35"/>
  <cols>
    <col min="1" max="1" width="13.33203125" style="1" customWidth="1"/>
    <col min="2" max="2" width="12.9140625" style="1" customWidth="1"/>
    <col min="3" max="4" width="48.58203125" style="1" customWidth="1"/>
    <col min="5" max="14" width="18.58203125" style="1" customWidth="1"/>
    <col min="15" max="15" width="9.58203125" style="1" bestFit="1" customWidth="1"/>
    <col min="16" max="16" width="13.25" style="1" customWidth="1"/>
    <col min="17" max="17" width="11" style="1" customWidth="1"/>
    <col min="18" max="18" width="15" style="1" bestFit="1" customWidth="1"/>
    <col min="19" max="19" width="11.75" style="1" customWidth="1"/>
    <col min="20" max="20" width="12.75" style="1" customWidth="1"/>
    <col min="21" max="21" width="11.75" style="1" customWidth="1"/>
    <col min="22" max="22" width="28.58203125" style="1" customWidth="1"/>
    <col min="23" max="23" width="55.58203125" style="1" customWidth="1"/>
    <col min="25" max="16384" width="11.25" style="1"/>
  </cols>
  <sheetData>
    <row r="1" spans="1:24" x14ac:dyDescent="0.35">
      <c r="A1" s="1" t="s">
        <v>11</v>
      </c>
      <c r="B1" s="1" t="s">
        <v>12</v>
      </c>
      <c r="C1" s="1" t="s">
        <v>13</v>
      </c>
      <c r="D1" s="1" t="s">
        <v>14</v>
      </c>
      <c r="E1" s="1" t="s">
        <v>351</v>
      </c>
      <c r="F1" s="1" t="s">
        <v>352</v>
      </c>
      <c r="G1" s="1" t="s">
        <v>353</v>
      </c>
      <c r="H1" s="1" t="s">
        <v>354</v>
      </c>
      <c r="I1" s="1" t="s">
        <v>355</v>
      </c>
      <c r="J1" s="1" t="s">
        <v>356</v>
      </c>
      <c r="K1" s="1" t="s">
        <v>357</v>
      </c>
      <c r="L1" s="1" t="s">
        <v>358</v>
      </c>
      <c r="M1" s="1" t="s">
        <v>359</v>
      </c>
      <c r="N1" s="1" t="s">
        <v>360</v>
      </c>
      <c r="O1" s="1" t="s">
        <v>21</v>
      </c>
      <c r="P1" s="1" t="s">
        <v>22</v>
      </c>
      <c r="Q1" s="1" t="s">
        <v>23</v>
      </c>
      <c r="R1" s="1" t="s">
        <v>24</v>
      </c>
      <c r="S1" s="1" t="s">
        <v>25</v>
      </c>
      <c r="T1" s="1" t="s">
        <v>26</v>
      </c>
      <c r="U1" s="1" t="s">
        <v>27</v>
      </c>
      <c r="V1" s="1" t="s">
        <v>29</v>
      </c>
      <c r="W1" s="1" t="s">
        <v>28</v>
      </c>
      <c r="X1" s="1"/>
    </row>
    <row r="2" spans="1:24" x14ac:dyDescent="0.35">
      <c r="A2" s="1" t="s">
        <v>30</v>
      </c>
      <c r="B2" s="1">
        <v>1</v>
      </c>
      <c r="C2" s="1" t="s">
        <v>319</v>
      </c>
      <c r="D2" s="1" t="s">
        <v>320</v>
      </c>
      <c r="E2" s="1" t="s">
        <v>15</v>
      </c>
      <c r="F2" s="1" t="s">
        <v>16</v>
      </c>
      <c r="J2" s="1" t="s">
        <v>19</v>
      </c>
      <c r="O2" s="1" t="s">
        <v>82</v>
      </c>
      <c r="P2" s="1" t="s">
        <v>178</v>
      </c>
      <c r="Q2" s="1" t="s">
        <v>31</v>
      </c>
      <c r="R2" s="1" t="s">
        <v>32</v>
      </c>
      <c r="S2" s="1" t="str">
        <f>VLOOKUP(InfoFlow[[#This Row],[Protocol Name]],Protocol[],2)</f>
        <v>API</v>
      </c>
      <c r="T2" s="1" t="s">
        <v>33</v>
      </c>
      <c r="U2" s="1" t="s">
        <v>78</v>
      </c>
      <c r="V2" s="1" t="s">
        <v>349</v>
      </c>
      <c r="W2" s="1" t="s">
        <v>34</v>
      </c>
      <c r="X2" s="1"/>
    </row>
    <row r="3" spans="1:24" x14ac:dyDescent="0.35">
      <c r="A3" s="1" t="s">
        <v>35</v>
      </c>
      <c r="B3" s="1">
        <v>2</v>
      </c>
      <c r="C3" s="1" t="s">
        <v>321</v>
      </c>
      <c r="D3" s="1" t="s">
        <v>322</v>
      </c>
      <c r="E3" s="1" t="s">
        <v>17</v>
      </c>
      <c r="F3" s="1" t="s">
        <v>18</v>
      </c>
      <c r="J3" s="1" t="s">
        <v>20</v>
      </c>
      <c r="O3" s="1" t="s">
        <v>83</v>
      </c>
      <c r="P3" s="1" t="s">
        <v>178</v>
      </c>
      <c r="Q3" s="1" t="s">
        <v>79</v>
      </c>
      <c r="R3" s="1" t="s">
        <v>36</v>
      </c>
      <c r="S3" s="1" t="str">
        <f>VLOOKUP(InfoFlow[[#This Row],[Protocol Name]],Protocol[],2)</f>
        <v>SOAP</v>
      </c>
      <c r="T3" s="1" t="s">
        <v>190</v>
      </c>
      <c r="U3" s="1" t="s">
        <v>76</v>
      </c>
      <c r="V3" s="1" t="s">
        <v>350</v>
      </c>
      <c r="W3" s="1" t="s">
        <v>34</v>
      </c>
      <c r="X3" s="1"/>
    </row>
    <row r="4" spans="1:24" x14ac:dyDescent="0.35">
      <c r="A4" s="1" t="s">
        <v>37</v>
      </c>
      <c r="B4" s="1">
        <v>3</v>
      </c>
      <c r="S4" s="1" t="e">
        <f>VLOOKUP(InfoFlow[[#This Row],[Protocol Name]],Protocol[],2)</f>
        <v>#N/A</v>
      </c>
      <c r="X4" s="1"/>
    </row>
    <row r="5" spans="1:24" x14ac:dyDescent="0.35">
      <c r="A5" s="1" t="s">
        <v>38</v>
      </c>
      <c r="B5" s="1">
        <v>4</v>
      </c>
      <c r="S5" s="1" t="e">
        <f>VLOOKUP(InfoFlow[[#This Row],[Protocol Name]],Protocol[],2)</f>
        <v>#N/A</v>
      </c>
      <c r="X5" s="1"/>
    </row>
    <row r="6" spans="1:24" x14ac:dyDescent="0.35">
      <c r="A6" s="1" t="s">
        <v>39</v>
      </c>
      <c r="B6" s="1">
        <v>5</v>
      </c>
      <c r="S6" s="1" t="e">
        <f>VLOOKUP(InfoFlow[[#This Row],[Protocol Name]],Protocol[],2)</f>
        <v>#N/A</v>
      </c>
      <c r="X6" s="1"/>
    </row>
    <row r="7" spans="1:24" x14ac:dyDescent="0.35">
      <c r="A7" s="1" t="s">
        <v>40</v>
      </c>
      <c r="B7" s="1">
        <v>6</v>
      </c>
      <c r="S7" s="1" t="e">
        <f>VLOOKUP(InfoFlow[[#This Row],[Protocol Name]],Protocol[],2)</f>
        <v>#N/A</v>
      </c>
      <c r="X7" s="1"/>
    </row>
    <row r="8" spans="1:24" x14ac:dyDescent="0.35">
      <c r="A8" s="1" t="s">
        <v>41</v>
      </c>
      <c r="B8" s="1">
        <v>7</v>
      </c>
      <c r="S8" s="1" t="e">
        <f>VLOOKUP(InfoFlow[[#This Row],[Protocol Name]],Protocol[],2)</f>
        <v>#N/A</v>
      </c>
      <c r="X8" s="1"/>
    </row>
    <row r="9" spans="1:24" x14ac:dyDescent="0.35">
      <c r="A9" s="1" t="s">
        <v>42</v>
      </c>
      <c r="B9" s="1">
        <v>8</v>
      </c>
      <c r="S9" s="1" t="e">
        <f>VLOOKUP(InfoFlow[[#This Row],[Protocol Name]],Protocol[],2)</f>
        <v>#N/A</v>
      </c>
      <c r="X9" s="1"/>
    </row>
    <row r="10" spans="1:24" x14ac:dyDescent="0.35">
      <c r="A10" s="1" t="s">
        <v>43</v>
      </c>
      <c r="B10" s="1">
        <v>9</v>
      </c>
      <c r="S10" s="1" t="e">
        <f>VLOOKUP(InfoFlow[[#This Row],[Protocol Name]],Protocol[],2)</f>
        <v>#N/A</v>
      </c>
      <c r="X10" s="1"/>
    </row>
    <row r="11" spans="1:24" x14ac:dyDescent="0.35">
      <c r="A11" s="1" t="s">
        <v>44</v>
      </c>
      <c r="B11" s="1">
        <v>10</v>
      </c>
      <c r="S11" s="1" t="e">
        <f>VLOOKUP(InfoFlow[[#This Row],[Protocol Name]],Protocol[],2)</f>
        <v>#N/A</v>
      </c>
      <c r="X11" s="1"/>
    </row>
    <row r="12" spans="1:24" x14ac:dyDescent="0.35">
      <c r="A12" s="1" t="s">
        <v>45</v>
      </c>
      <c r="B12" s="1">
        <v>11</v>
      </c>
      <c r="S12" s="1" t="e">
        <f>VLOOKUP(InfoFlow[[#This Row],[Protocol Name]],Protocol[],2)</f>
        <v>#N/A</v>
      </c>
      <c r="X12" s="1"/>
    </row>
    <row r="13" spans="1:24" x14ac:dyDescent="0.35">
      <c r="A13" s="1" t="s">
        <v>46</v>
      </c>
      <c r="B13" s="1">
        <v>12</v>
      </c>
      <c r="S13" s="1" t="e">
        <f>VLOOKUP(InfoFlow[[#This Row],[Protocol Name]],Protocol[],2)</f>
        <v>#N/A</v>
      </c>
      <c r="X13" s="1"/>
    </row>
    <row r="14" spans="1:24" x14ac:dyDescent="0.35">
      <c r="A14" s="1" t="s">
        <v>47</v>
      </c>
      <c r="B14" s="1">
        <v>13</v>
      </c>
      <c r="S14" s="1" t="e">
        <f>VLOOKUP(InfoFlow[[#This Row],[Protocol Name]],Protocol[],2)</f>
        <v>#N/A</v>
      </c>
      <c r="X14" s="1"/>
    </row>
    <row r="15" spans="1:24" x14ac:dyDescent="0.35">
      <c r="A15" s="1" t="s">
        <v>48</v>
      </c>
      <c r="B15" s="1">
        <v>14</v>
      </c>
      <c r="S15" s="1" t="e">
        <f>VLOOKUP(InfoFlow[[#This Row],[Protocol Name]],Protocol[],2)</f>
        <v>#N/A</v>
      </c>
      <c r="X15" s="1"/>
    </row>
    <row r="16" spans="1:24" x14ac:dyDescent="0.35">
      <c r="A16" s="1" t="s">
        <v>49</v>
      </c>
      <c r="B16" s="1">
        <v>15</v>
      </c>
      <c r="S16" s="1" t="e">
        <f>VLOOKUP(InfoFlow[[#This Row],[Protocol Name]],Protocol[],2)</f>
        <v>#N/A</v>
      </c>
      <c r="X16" s="1"/>
    </row>
    <row r="17" spans="1:24" x14ac:dyDescent="0.35">
      <c r="A17" s="1" t="s">
        <v>50</v>
      </c>
      <c r="B17" s="1">
        <v>16</v>
      </c>
      <c r="S17" s="1" t="e">
        <f>VLOOKUP(InfoFlow[[#This Row],[Protocol Name]],Protocol[],2)</f>
        <v>#N/A</v>
      </c>
      <c r="X17" s="1"/>
    </row>
    <row r="18" spans="1:24" x14ac:dyDescent="0.35">
      <c r="A18" s="1" t="s">
        <v>51</v>
      </c>
      <c r="B18" s="1">
        <v>17</v>
      </c>
      <c r="S18" s="1" t="e">
        <f>VLOOKUP(InfoFlow[[#This Row],[Protocol Name]],Protocol[],2)</f>
        <v>#N/A</v>
      </c>
      <c r="X18" s="1"/>
    </row>
    <row r="19" spans="1:24" x14ac:dyDescent="0.35">
      <c r="A19" s="1" t="s">
        <v>52</v>
      </c>
      <c r="B19" s="1">
        <v>18</v>
      </c>
      <c r="S19" s="1" t="e">
        <f>VLOOKUP(InfoFlow[[#This Row],[Protocol Name]],Protocol[],2)</f>
        <v>#N/A</v>
      </c>
      <c r="X19" s="1"/>
    </row>
    <row r="20" spans="1:24" x14ac:dyDescent="0.35">
      <c r="A20" s="1" t="s">
        <v>53</v>
      </c>
      <c r="B20" s="1">
        <v>19</v>
      </c>
      <c r="S20" s="1" t="e">
        <f>VLOOKUP(InfoFlow[[#This Row],[Protocol Name]],Protocol[],2)</f>
        <v>#N/A</v>
      </c>
      <c r="X20" s="1"/>
    </row>
    <row r="21" spans="1:24" x14ac:dyDescent="0.35">
      <c r="A21" s="1" t="s">
        <v>54</v>
      </c>
      <c r="B21" s="1">
        <v>20</v>
      </c>
      <c r="S21" s="1" t="e">
        <f>VLOOKUP(InfoFlow[[#This Row],[Protocol Name]],Protocol[],2)</f>
        <v>#N/A</v>
      </c>
      <c r="X21" s="1"/>
    </row>
    <row r="22" spans="1:24" x14ac:dyDescent="0.35">
      <c r="A22" s="1" t="s">
        <v>55</v>
      </c>
      <c r="B22" s="1">
        <v>21</v>
      </c>
      <c r="S22" s="1" t="e">
        <f>VLOOKUP(InfoFlow[[#This Row],[Protocol Name]],Protocol[],2)</f>
        <v>#N/A</v>
      </c>
      <c r="X22" s="1"/>
    </row>
    <row r="23" spans="1:24" x14ac:dyDescent="0.35">
      <c r="A23" s="1" t="s">
        <v>56</v>
      </c>
      <c r="B23" s="1">
        <v>22</v>
      </c>
      <c r="S23" s="1" t="e">
        <f>VLOOKUP(InfoFlow[[#This Row],[Protocol Name]],Protocol[],2)</f>
        <v>#N/A</v>
      </c>
      <c r="X23" s="1"/>
    </row>
    <row r="24" spans="1:24" x14ac:dyDescent="0.35">
      <c r="A24" s="1" t="s">
        <v>57</v>
      </c>
      <c r="B24" s="1">
        <v>23</v>
      </c>
      <c r="S24" s="1" t="e">
        <f>VLOOKUP(InfoFlow[[#This Row],[Protocol Name]],Protocol[],2)</f>
        <v>#N/A</v>
      </c>
      <c r="X24" s="1"/>
    </row>
    <row r="25" spans="1:24" x14ac:dyDescent="0.35">
      <c r="A25" s="1" t="s">
        <v>58</v>
      </c>
      <c r="B25" s="1">
        <v>24</v>
      </c>
      <c r="S25" s="1" t="e">
        <f>VLOOKUP(InfoFlow[[#This Row],[Protocol Name]],Protocol[],2)</f>
        <v>#N/A</v>
      </c>
      <c r="X25" s="1"/>
    </row>
    <row r="26" spans="1:24" x14ac:dyDescent="0.35">
      <c r="A26" s="1" t="s">
        <v>59</v>
      </c>
      <c r="B26" s="1">
        <v>25</v>
      </c>
      <c r="S26" s="1" t="e">
        <f>VLOOKUP(InfoFlow[[#This Row],[Protocol Name]],Protocol[],2)</f>
        <v>#N/A</v>
      </c>
      <c r="X26" s="1"/>
    </row>
    <row r="27" spans="1:24" x14ac:dyDescent="0.35">
      <c r="A27" s="1" t="s">
        <v>60</v>
      </c>
      <c r="B27" s="1">
        <v>26</v>
      </c>
      <c r="S27" s="1" t="e">
        <f>VLOOKUP(InfoFlow[[#This Row],[Protocol Name]],Protocol[],2)</f>
        <v>#N/A</v>
      </c>
      <c r="X27" s="1"/>
    </row>
    <row r="28" spans="1:24" x14ac:dyDescent="0.35">
      <c r="A28" s="1" t="s">
        <v>61</v>
      </c>
      <c r="B28" s="1">
        <v>27</v>
      </c>
      <c r="S28" s="1" t="e">
        <f>VLOOKUP(InfoFlow[[#This Row],[Protocol Name]],Protocol[],2)</f>
        <v>#N/A</v>
      </c>
      <c r="X28" s="1"/>
    </row>
    <row r="29" spans="1:24" x14ac:dyDescent="0.35">
      <c r="A29" s="1" t="s">
        <v>62</v>
      </c>
      <c r="B29" s="1">
        <v>28</v>
      </c>
      <c r="S29" s="1" t="e">
        <f>VLOOKUP(InfoFlow[[#This Row],[Protocol Name]],Protocol[],2)</f>
        <v>#N/A</v>
      </c>
      <c r="X29" s="1"/>
    </row>
    <row r="30" spans="1:24" x14ac:dyDescent="0.35">
      <c r="A30" s="1" t="s">
        <v>63</v>
      </c>
      <c r="B30" s="1">
        <v>29</v>
      </c>
      <c r="S30" s="1" t="e">
        <f>VLOOKUP(InfoFlow[[#This Row],[Protocol Name]],Protocol[],2)</f>
        <v>#N/A</v>
      </c>
      <c r="X30" s="1"/>
    </row>
    <row r="31" spans="1:24" x14ac:dyDescent="0.35">
      <c r="A31" s="1" t="s">
        <v>64</v>
      </c>
      <c r="B31" s="1">
        <v>30</v>
      </c>
      <c r="S31" s="1" t="e">
        <f>VLOOKUP(InfoFlow[[#This Row],[Protocol Name]],Protocol[],2)</f>
        <v>#N/A</v>
      </c>
      <c r="X31" s="1"/>
    </row>
    <row r="32" spans="1:24" x14ac:dyDescent="0.35">
      <c r="A32" s="1" t="s">
        <v>65</v>
      </c>
      <c r="B32" s="1">
        <v>31</v>
      </c>
      <c r="S32" s="1" t="e">
        <f>VLOOKUP(InfoFlow[[#This Row],[Protocol Name]],Protocol[],2)</f>
        <v>#N/A</v>
      </c>
      <c r="X32" s="1"/>
    </row>
    <row r="33" spans="1:24" x14ac:dyDescent="0.35">
      <c r="A33" s="1" t="s">
        <v>66</v>
      </c>
      <c r="B33" s="1">
        <v>32</v>
      </c>
      <c r="S33" s="1" t="e">
        <f>VLOOKUP(InfoFlow[[#This Row],[Protocol Name]],Protocol[],2)</f>
        <v>#N/A</v>
      </c>
      <c r="X33" s="1"/>
    </row>
    <row r="34" spans="1:24" x14ac:dyDescent="0.35">
      <c r="A34" s="1" t="s">
        <v>67</v>
      </c>
      <c r="B34" s="1">
        <v>33</v>
      </c>
      <c r="S34" s="1" t="e">
        <f>VLOOKUP(InfoFlow[[#This Row],[Protocol Name]],Protocol[],2)</f>
        <v>#N/A</v>
      </c>
      <c r="X34" s="1"/>
    </row>
    <row r="35" spans="1:24" x14ac:dyDescent="0.35">
      <c r="A35" s="1" t="s">
        <v>68</v>
      </c>
      <c r="B35" s="1">
        <v>34</v>
      </c>
      <c r="S35" s="1" t="e">
        <f>VLOOKUP(InfoFlow[[#This Row],[Protocol Name]],Protocol[],2)</f>
        <v>#N/A</v>
      </c>
      <c r="X35" s="1"/>
    </row>
    <row r="36" spans="1:24" x14ac:dyDescent="0.35">
      <c r="A36" s="1" t="s">
        <v>69</v>
      </c>
      <c r="B36" s="1">
        <v>35</v>
      </c>
      <c r="S36" s="1" t="e">
        <f>VLOOKUP(InfoFlow[[#This Row],[Protocol Name]],Protocol[],2)</f>
        <v>#N/A</v>
      </c>
      <c r="X36" s="1"/>
    </row>
    <row r="37" spans="1:24" x14ac:dyDescent="0.35">
      <c r="A37" s="1" t="s">
        <v>70</v>
      </c>
      <c r="B37" s="1">
        <v>36</v>
      </c>
      <c r="S37" s="1" t="e">
        <f>VLOOKUP(InfoFlow[[#This Row],[Protocol Name]],Protocol[],2)</f>
        <v>#N/A</v>
      </c>
      <c r="X37" s="1"/>
    </row>
    <row r="38" spans="1:24" x14ac:dyDescent="0.35">
      <c r="A38" s="1" t="s">
        <v>71</v>
      </c>
      <c r="B38" s="1">
        <v>37</v>
      </c>
      <c r="S38" s="1" t="e">
        <f>VLOOKUP(InfoFlow[[#This Row],[Protocol Name]],Protocol[],2)</f>
        <v>#N/A</v>
      </c>
      <c r="X38" s="1"/>
    </row>
    <row r="39" spans="1:24" x14ac:dyDescent="0.35">
      <c r="A39" s="1" t="s">
        <v>72</v>
      </c>
      <c r="B39" s="1">
        <v>38</v>
      </c>
      <c r="S39" s="1" t="e">
        <f>VLOOKUP(InfoFlow[[#This Row],[Protocol Name]],Protocol[],2)</f>
        <v>#N/A</v>
      </c>
      <c r="X39" s="1"/>
    </row>
    <row r="40" spans="1:24" x14ac:dyDescent="0.35">
      <c r="A40" s="1" t="s">
        <v>73</v>
      </c>
      <c r="B40" s="1">
        <v>39</v>
      </c>
      <c r="S40" s="1" t="e">
        <f>VLOOKUP(InfoFlow[[#This Row],[Protocol Name]],Protocol[],2)</f>
        <v>#N/A</v>
      </c>
      <c r="X40" s="1"/>
    </row>
    <row r="41" spans="1:24" x14ac:dyDescent="0.35">
      <c r="A41" s="1" t="s">
        <v>74</v>
      </c>
      <c r="B41" s="1">
        <v>40</v>
      </c>
      <c r="S41" s="1" t="e">
        <f>VLOOKUP(InfoFlow[[#This Row],[Protocol Name]],Protocol[],2)</f>
        <v>#N/A</v>
      </c>
      <c r="X41" s="1"/>
    </row>
  </sheetData>
  <dataValidations count="9">
    <dataValidation type="list" allowBlank="1" showInputMessage="1" showErrorMessage="1" sqref="O2:O41">
      <formula1>_Initiator</formula1>
    </dataValidation>
    <dataValidation type="list" allowBlank="1" showInputMessage="1" showErrorMessage="1" sqref="P2:P41">
      <formula1>_Exchange</formula1>
    </dataValidation>
    <dataValidation type="list" allowBlank="1" showInputMessage="1" showErrorMessage="1" sqref="Q2:Q41">
      <formula1>_Type</formula1>
    </dataValidation>
    <dataValidation type="list" allowBlank="1" showInputMessage="1" showErrorMessage="1" sqref="U2:U41">
      <formula1>_Status</formula1>
    </dataValidation>
    <dataValidation type="list" allowBlank="1" showInputMessage="1" showErrorMessage="1" sqref="T2:T41">
      <formula1>_Format</formula1>
    </dataValidation>
    <dataValidation type="list" allowBlank="1" showInputMessage="1" showErrorMessage="1" sqref="R2:R41">
      <formula1>_ProtocolName</formula1>
    </dataValidation>
    <dataValidation type="list" allowBlank="1" showInputMessage="1" showErrorMessage="1" sqref="E2:N41">
      <formula1>Data_Entity_Name</formula1>
    </dataValidation>
    <dataValidation type="list" allowBlank="1" showInputMessage="1" showErrorMessage="1" sqref="C2:D41">
      <formula1>Logical_Component_Name</formula1>
    </dataValidation>
    <dataValidation type="list" allowBlank="1" showInputMessage="1" showErrorMessage="1" sqref="V2:V41">
      <formula1>Location_Name</formula1>
    </dataValidation>
  </dataValidations>
  <pageMargins left="0.25" right="0.25" top="0.75" bottom="0.75" header="0.3" footer="0.3"/>
  <pageSetup orientation="landscape" r:id="rId1"/>
  <headerFooter>
    <oddHeader>&amp;L&amp;"EMprint Regular,Regular"&amp;16&amp;K3A397BTitle&amp;R&amp;G</oddHead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B1:U51"/>
  <sheetViews>
    <sheetView showGridLines="0" zoomScale="98" zoomScaleNormal="98" workbookViewId="0">
      <selection activeCell="K6" sqref="K6"/>
    </sheetView>
  </sheetViews>
  <sheetFormatPr defaultColWidth="11.25" defaultRowHeight="15.5" x14ac:dyDescent="0.35"/>
  <cols>
    <col min="1" max="1" width="2.58203125" style="1" customWidth="1"/>
    <col min="2" max="2" width="17" style="1" bestFit="1" customWidth="1"/>
    <col min="3" max="3" width="11.25" style="1"/>
    <col min="4" max="4" width="4.58203125" style="1" customWidth="1"/>
    <col min="5" max="5" width="39.75" style="1" bestFit="1" customWidth="1"/>
    <col min="6" max="6" width="11.25" style="1"/>
    <col min="7" max="7" width="4.58203125" style="1" customWidth="1"/>
    <col min="8" max="8" width="39.75" style="1" bestFit="1" customWidth="1"/>
    <col min="9" max="9" width="11.25" style="1"/>
    <col min="10" max="10" width="4.58203125" style="1" customWidth="1"/>
    <col min="11" max="11" width="15.83203125" style="1" bestFit="1" customWidth="1"/>
    <col min="12" max="12" width="11.25" style="1"/>
    <col min="13" max="13" width="4.58203125" style="1" customWidth="1"/>
    <col min="14" max="14" width="14.25" style="1" customWidth="1"/>
    <col min="15" max="15" width="10.25" style="1" bestFit="1" customWidth="1"/>
    <col min="16" max="16" width="4.58203125" style="1" customWidth="1"/>
    <col min="17" max="17" width="13.6640625" style="1" customWidth="1"/>
    <col min="18" max="18" width="11.25" style="1"/>
    <col min="19" max="19" width="4.58203125" style="1" customWidth="1"/>
    <col min="20" max="20" width="20.58203125" style="1" customWidth="1"/>
    <col min="21" max="16384" width="11.25" style="1"/>
  </cols>
  <sheetData>
    <row r="1" spans="2:21" x14ac:dyDescent="0.35">
      <c r="N1" s="11"/>
      <c r="O1" s="12"/>
    </row>
    <row r="2" spans="2:21" x14ac:dyDescent="0.35">
      <c r="B2" s="1" t="s">
        <v>27</v>
      </c>
      <c r="C2" s="12" t="s">
        <v>75</v>
      </c>
      <c r="E2" s="1" t="s">
        <v>13</v>
      </c>
      <c r="F2" s="12" t="s">
        <v>75</v>
      </c>
      <c r="H2" s="1" t="s">
        <v>14</v>
      </c>
      <c r="I2" s="12" t="s">
        <v>75</v>
      </c>
      <c r="J2" s="12"/>
      <c r="K2" s="12" t="s">
        <v>260</v>
      </c>
      <c r="L2" s="12" t="s">
        <v>75</v>
      </c>
      <c r="N2" s="1" t="s">
        <v>25</v>
      </c>
      <c r="O2" s="12" t="s">
        <v>75</v>
      </c>
      <c r="Q2" s="1" t="s">
        <v>26</v>
      </c>
      <c r="R2" s="12" t="s">
        <v>75</v>
      </c>
      <c r="T2" s="1" t="s">
        <v>29</v>
      </c>
      <c r="U2" s="1" t="s">
        <v>75</v>
      </c>
    </row>
    <row r="3" spans="2:21" x14ac:dyDescent="0.35">
      <c r="B3" s="1" t="s">
        <v>76</v>
      </c>
      <c r="C3" s="12">
        <f>COUNTIF(InfoFlow[Status],StatusTable[Status])</f>
        <v>1</v>
      </c>
      <c r="E3" s="1" t="str">
        <f>Entities!E2</f>
        <v>Logical app component name 1</v>
      </c>
      <c r="F3" s="12">
        <f>COUNTIF(InfoFlow[Source Application],ApplicationTable[Source Application])</f>
        <v>1</v>
      </c>
      <c r="H3" s="1" t="str">
        <f>Entities!E2</f>
        <v>Logical app component name 1</v>
      </c>
      <c r="I3" s="12">
        <f>COUNTIF(InfoFlow[Destination Application],ApplicationTable21[Destination Application])</f>
        <v>0</v>
      </c>
      <c r="J3" s="12"/>
      <c r="K3" s="13" t="str">
        <f>Entities!B2</f>
        <v>Data Entity 1</v>
      </c>
      <c r="L3" s="12">
        <f>COUNTIF(InfoFlow[Data Entity In 1],Table21[[Data Entity ]])</f>
        <v>1</v>
      </c>
      <c r="N3" s="1" t="str">
        <f>Lookups!I2</f>
        <v>API</v>
      </c>
      <c r="O3" s="12">
        <f>COUNTIF(InfoFlow[Protocol],ProtocolTable[Protocol])</f>
        <v>1</v>
      </c>
      <c r="Q3" s="1" t="str">
        <f>Lookups!K2</f>
        <v>Parameters</v>
      </c>
      <c r="R3" s="12">
        <f>COUNTIF(InfoFlow[Format],Table3[Format])</f>
        <v>0</v>
      </c>
      <c r="T3" s="1" t="str">
        <f>Entities!H2</f>
        <v>Location 1</v>
      </c>
      <c r="U3" s="1">
        <f>COUNTIF(InfoFlow[Location],Table23[Location])</f>
        <v>1</v>
      </c>
    </row>
    <row r="4" spans="2:21" x14ac:dyDescent="0.35">
      <c r="B4" s="1" t="s">
        <v>77</v>
      </c>
      <c r="C4" s="12">
        <f>COUNTIF(InfoFlow[Status],StatusTable[Status])</f>
        <v>0</v>
      </c>
      <c r="E4" s="1" t="str">
        <f>Entities!E3</f>
        <v>Logical app component name 2</v>
      </c>
      <c r="F4" s="12">
        <f>COUNTIF(InfoFlow[Source Application],ApplicationTable[Source Application])</f>
        <v>0</v>
      </c>
      <c r="H4" s="1" t="str">
        <f>Entities!E3</f>
        <v>Logical app component name 2</v>
      </c>
      <c r="I4" s="12">
        <f>COUNTIF(InfoFlow[Destination Application],ApplicationTable21[Destination Application])</f>
        <v>1</v>
      </c>
      <c r="J4" s="12"/>
      <c r="K4" s="13" t="str">
        <f>Entities!B3</f>
        <v>Data Entity 2</v>
      </c>
      <c r="L4" s="12">
        <f>COUNTIF(InfoFlow[Data Entity In 1],Table21[[Data Entity ]])</f>
        <v>0</v>
      </c>
      <c r="N4" s="1" t="str">
        <f>Lookups!I3</f>
        <v>HTTP</v>
      </c>
      <c r="O4" s="12">
        <f>COUNTIF(InfoFlow[Protocol],ProtocolTable[Protocol])</f>
        <v>0</v>
      </c>
      <c r="Q4" s="1" t="str">
        <f>Lookups!K3</f>
        <v>Object</v>
      </c>
      <c r="R4" s="12">
        <f>COUNTIF(InfoFlow[Format],Table3[Format])</f>
        <v>0</v>
      </c>
      <c r="T4" s="1" t="str">
        <f>Entities!H3</f>
        <v>Location 2</v>
      </c>
      <c r="U4" s="1">
        <f>COUNTIF(InfoFlow[Location],Table23[Location])</f>
        <v>1</v>
      </c>
    </row>
    <row r="5" spans="2:21" x14ac:dyDescent="0.35">
      <c r="B5" s="1" t="s">
        <v>78</v>
      </c>
      <c r="C5" s="12">
        <f>COUNTIF(InfoFlow[Status],StatusTable[Status])</f>
        <v>1</v>
      </c>
      <c r="E5" s="1" t="str">
        <f>Entities!E4</f>
        <v>Logical technology component 1</v>
      </c>
      <c r="F5" s="12">
        <f>COUNTIF(InfoFlow[Source Application],ApplicationTable[Source Application])</f>
        <v>1</v>
      </c>
      <c r="H5" s="1" t="str">
        <f>Entities!E4</f>
        <v>Logical technology component 1</v>
      </c>
      <c r="I5" s="12">
        <f>COUNTIF(InfoFlow[Destination Application],ApplicationTable21[Destination Application])</f>
        <v>0</v>
      </c>
      <c r="J5" s="12"/>
      <c r="K5" s="13" t="str">
        <f>Entities!B4</f>
        <v>Data Entity 3</v>
      </c>
      <c r="L5" s="12">
        <f>COUNTIF(InfoFlow[Data Entity In 1],Table21[[Data Entity ]])</f>
        <v>1</v>
      </c>
      <c r="N5" s="1" t="str">
        <f>Lookups!I4</f>
        <v>MQ</v>
      </c>
      <c r="O5" s="12">
        <f>COUNTIF(InfoFlow[Protocol],ProtocolTable[Protocol])</f>
        <v>0</v>
      </c>
      <c r="Q5" s="1" t="str">
        <f>Lookups!K4</f>
        <v>XML</v>
      </c>
      <c r="R5" s="12">
        <f>COUNTIF(InfoFlow[Format],Table3[Format])</f>
        <v>1</v>
      </c>
      <c r="T5" s="1">
        <f>Entities!H4</f>
        <v>0</v>
      </c>
      <c r="U5" s="1">
        <f>COUNTIF(InfoFlow[Location],Table23[Location])</f>
        <v>0</v>
      </c>
    </row>
    <row r="6" spans="2:21" x14ac:dyDescent="0.35">
      <c r="B6" s="1" t="s">
        <v>80</v>
      </c>
      <c r="C6" s="12">
        <f>COUNTIF(InfoFlow[Status],StatusTable[Status])</f>
        <v>0</v>
      </c>
      <c r="E6" s="1" t="str">
        <f>Entities!E5</f>
        <v>Logical technology component 2</v>
      </c>
      <c r="F6" s="12">
        <f>COUNTIF(InfoFlow[Source Application],ApplicationTable[Source Application])</f>
        <v>0</v>
      </c>
      <c r="H6" s="1" t="str">
        <f>Entities!E5</f>
        <v>Logical technology component 2</v>
      </c>
      <c r="I6" s="12">
        <f>COUNTIF(InfoFlow[Destination Application],ApplicationTable21[Destination Application])</f>
        <v>1</v>
      </c>
      <c r="J6" s="12"/>
      <c r="K6" s="13" t="str">
        <f>Entities!B5</f>
        <v>Data Entity 4</v>
      </c>
      <c r="L6" s="12">
        <f>COUNTIF(InfoFlow[Data Entity In 1],Table21[[Data Entity ]])</f>
        <v>0</v>
      </c>
      <c r="N6" s="1" t="str">
        <f>Lookups!I5</f>
        <v>REST</v>
      </c>
      <c r="O6" s="12">
        <f>COUNTIF(InfoFlow[Protocol],ProtocolTable[Protocol])</f>
        <v>0</v>
      </c>
      <c r="Q6" s="1" t="str">
        <f>Lookups!K5</f>
        <v>JSON</v>
      </c>
      <c r="R6" s="12">
        <f>COUNTIF(InfoFlow[Format],Table3[Format])</f>
        <v>1</v>
      </c>
      <c r="T6" s="1">
        <f>Entities!H5</f>
        <v>0</v>
      </c>
      <c r="U6" s="1">
        <f>COUNTIF(InfoFlow[Location],Table23[Location])</f>
        <v>0</v>
      </c>
    </row>
    <row r="7" spans="2:21" x14ac:dyDescent="0.35">
      <c r="B7" s="1" t="s">
        <v>81</v>
      </c>
      <c r="C7" s="12">
        <f>COUNTIF(InfoFlow[Status],StatusTable[Status])</f>
        <v>0</v>
      </c>
      <c r="E7" s="1">
        <f>Entities!E6</f>
        <v>0</v>
      </c>
      <c r="F7" s="12">
        <f>COUNTIF(InfoFlow[Source Application],ApplicationTable[Source Application])</f>
        <v>0</v>
      </c>
      <c r="H7" s="1">
        <f>Entities!E6</f>
        <v>0</v>
      </c>
      <c r="I7" s="12">
        <f>COUNTIF(InfoFlow[Destination Application],ApplicationTable21[Destination Application])</f>
        <v>0</v>
      </c>
      <c r="J7" s="12"/>
      <c r="K7" s="13" t="str">
        <f>Entities!B6</f>
        <v>Data Entity 5</v>
      </c>
      <c r="L7" s="12">
        <f>COUNTIF(InfoFlow[Data Entity In 1],Table21[[Data Entity ]])</f>
        <v>0</v>
      </c>
      <c r="N7" s="1" t="str">
        <f>Lookups!I6</f>
        <v>RPC</v>
      </c>
      <c r="O7" s="12">
        <f>COUNTIF(InfoFlow[Protocol],ProtocolTable[Protocol])</f>
        <v>0</v>
      </c>
      <c r="Q7" s="1" t="str">
        <f>Lookups!K6</f>
        <v>CSV</v>
      </c>
      <c r="R7" s="12">
        <f>COUNTIF(InfoFlow[Format],Table3[Format])</f>
        <v>0</v>
      </c>
      <c r="T7" s="1">
        <f>Entities!H6</f>
        <v>0</v>
      </c>
      <c r="U7" s="1">
        <f>COUNTIF(InfoFlow[Location],Table23[Location])</f>
        <v>0</v>
      </c>
    </row>
    <row r="8" spans="2:21" x14ac:dyDescent="0.35">
      <c r="E8" s="1">
        <f>Entities!E7</f>
        <v>0</v>
      </c>
      <c r="F8" s="12">
        <f>COUNTIF(InfoFlow[Source Application],ApplicationTable[Source Application])</f>
        <v>0</v>
      </c>
      <c r="H8" s="1">
        <f>Entities!E7</f>
        <v>0</v>
      </c>
      <c r="I8" s="12">
        <f>COUNTIF(InfoFlow[Destination Application],ApplicationTable21[Destination Application])</f>
        <v>0</v>
      </c>
      <c r="J8" s="12"/>
      <c r="K8" s="13" t="str">
        <f>Entities!B7</f>
        <v>Data Entity 6</v>
      </c>
      <c r="L8" s="12">
        <f>COUNTIF(InfoFlow[Data Entity In 1],Table21[[Data Entity ]])</f>
        <v>0</v>
      </c>
      <c r="N8" s="1" t="str">
        <f>Lookups!I7</f>
        <v>SOAP</v>
      </c>
      <c r="O8" s="12">
        <f>COUNTIF(InfoFlow[Protocol],ProtocolTable[Protocol])</f>
        <v>1</v>
      </c>
      <c r="Q8" s="1" t="str">
        <f>Lookups!K7</f>
        <v>Tabular</v>
      </c>
      <c r="R8" s="12">
        <f>COUNTIF(InfoFlow[Format],Table3[Format])</f>
        <v>0</v>
      </c>
      <c r="T8" s="1">
        <f>Entities!H7</f>
        <v>0</v>
      </c>
      <c r="U8" s="1">
        <f>COUNTIF(InfoFlow[Location],Table23[Location])</f>
        <v>0</v>
      </c>
    </row>
    <row r="9" spans="2:21" x14ac:dyDescent="0.35">
      <c r="E9" s="1">
        <f>Entities!E8</f>
        <v>0</v>
      </c>
      <c r="F9" s="12">
        <f>COUNTIF(InfoFlow[Source Application],ApplicationTable[Source Application])</f>
        <v>0</v>
      </c>
      <c r="H9" s="1">
        <f>Entities!E8</f>
        <v>0</v>
      </c>
      <c r="I9" s="12">
        <f>COUNTIF(InfoFlow[Destination Application],ApplicationTable21[Destination Application])</f>
        <v>0</v>
      </c>
      <c r="J9" s="12"/>
      <c r="K9" s="13">
        <f>Entities!B8</f>
        <v>0</v>
      </c>
      <c r="L9" s="12">
        <f>COUNTIF(InfoFlow[Data Entity In 1],Table21[[Data Entity ]])</f>
        <v>0</v>
      </c>
      <c r="N9" s="1" t="str">
        <f>Lookups!I8</f>
        <v>ODBC</v>
      </c>
      <c r="O9" s="12">
        <f>COUNTIF(InfoFlow[Protocol],ProtocolTable[Protocol])</f>
        <v>0</v>
      </c>
      <c r="Q9" s="1" t="str">
        <f>Lookups!K8</f>
        <v>Excel</v>
      </c>
      <c r="R9" s="12">
        <f>COUNTIF(InfoFlow[Format],Table3[Format])</f>
        <v>0</v>
      </c>
      <c r="T9" s="1">
        <f>Entities!H8</f>
        <v>0</v>
      </c>
      <c r="U9" s="1">
        <f>COUNTIF(InfoFlow[Location],Table23[Location])</f>
        <v>0</v>
      </c>
    </row>
    <row r="10" spans="2:21" x14ac:dyDescent="0.35">
      <c r="B10" s="1" t="s">
        <v>21</v>
      </c>
      <c r="C10" s="12" t="s">
        <v>75</v>
      </c>
      <c r="E10" s="1">
        <f>Entities!E9</f>
        <v>0</v>
      </c>
      <c r="F10" s="12">
        <f>COUNTIF(InfoFlow[Source Application],ApplicationTable[Source Application])</f>
        <v>0</v>
      </c>
      <c r="H10" s="1">
        <f>Entities!E9</f>
        <v>0</v>
      </c>
      <c r="I10" s="12">
        <f>COUNTIF(InfoFlow[Destination Application],ApplicationTable21[Destination Application])</f>
        <v>0</v>
      </c>
      <c r="J10" s="12"/>
      <c r="K10" s="13">
        <f>Entities!B9</f>
        <v>0</v>
      </c>
      <c r="L10" s="12">
        <f>COUNTIF(InfoFlow[Data Entity In 1],Table21[[Data Entity ]])</f>
        <v>0</v>
      </c>
      <c r="N10" s="1" t="str">
        <f>Lookups!I9</f>
        <v>RDBMS</v>
      </c>
      <c r="O10" s="12">
        <f>COUNTIF(InfoFlow[Protocol],ProtocolTable[Protocol])</f>
        <v>0</v>
      </c>
      <c r="Q10" s="1" t="str">
        <f>Lookups!K9</f>
        <v>Stream</v>
      </c>
      <c r="R10" s="12">
        <f>COUNTIF(InfoFlow[Format],Table3[Format])</f>
        <v>0</v>
      </c>
      <c r="T10" s="1">
        <f>Entities!H9</f>
        <v>0</v>
      </c>
      <c r="U10" s="1">
        <f>COUNTIF(InfoFlow[Location],Table23[Location])</f>
        <v>0</v>
      </c>
    </row>
    <row r="11" spans="2:21" x14ac:dyDescent="0.35">
      <c r="B11" s="1" t="s">
        <v>82</v>
      </c>
      <c r="C11" s="12">
        <f>COUNTIF(InfoFlow[Initiator],InitiatorTable[Initiator])</f>
        <v>1</v>
      </c>
      <c r="E11" s="1">
        <f>Entities!E10</f>
        <v>0</v>
      </c>
      <c r="F11" s="12">
        <f>COUNTIF(InfoFlow[Source Application],ApplicationTable[Source Application])</f>
        <v>0</v>
      </c>
      <c r="H11" s="1">
        <f>Entities!E10</f>
        <v>0</v>
      </c>
      <c r="I11" s="12">
        <f>COUNTIF(InfoFlow[Destination Application],ApplicationTable21[Destination Application])</f>
        <v>0</v>
      </c>
      <c r="J11" s="12"/>
      <c r="K11" s="13">
        <f>Entities!B10</f>
        <v>0</v>
      </c>
      <c r="L11" s="12">
        <f>COUNTIF(InfoFlow[Data Entity In 1],Table21[[Data Entity ]])</f>
        <v>0</v>
      </c>
      <c r="N11" s="1" t="str">
        <f>Lookups!I10</f>
        <v>SQL</v>
      </c>
      <c r="O11" s="12">
        <f>COUNTIF(InfoFlow[Protocol],ProtocolTable[Protocol])</f>
        <v>0</v>
      </c>
      <c r="Q11" s="1" t="str">
        <f>Lookups!K10</f>
        <v>File</v>
      </c>
      <c r="R11" s="12">
        <f>COUNTIF(InfoFlow[Format],Table3[Format])</f>
        <v>0</v>
      </c>
      <c r="T11" s="1">
        <f>Entities!H10</f>
        <v>0</v>
      </c>
      <c r="U11" s="1">
        <f>COUNTIF(InfoFlow[Location],Table23[Location])</f>
        <v>0</v>
      </c>
    </row>
    <row r="12" spans="2:21" x14ac:dyDescent="0.35">
      <c r="B12" s="1" t="s">
        <v>83</v>
      </c>
      <c r="C12" s="12">
        <f>COUNTIF(InfoFlow[Initiator],InitiatorTable[Initiator])</f>
        <v>1</v>
      </c>
      <c r="E12" s="1">
        <f>Entities!E11</f>
        <v>0</v>
      </c>
      <c r="F12" s="12">
        <f>COUNTIF(InfoFlow[Source Application],ApplicationTable[Source Application])</f>
        <v>0</v>
      </c>
      <c r="H12" s="1">
        <f>Entities!E11</f>
        <v>0</v>
      </c>
      <c r="I12" s="12">
        <f>COUNTIF(InfoFlow[Destination Application],ApplicationTable21[Destination Application])</f>
        <v>0</v>
      </c>
      <c r="J12" s="12"/>
      <c r="K12" s="13">
        <f>Entities!B11</f>
        <v>0</v>
      </c>
      <c r="L12" s="12">
        <f>COUNTIF(InfoFlow[Data Entity In 1],Table21[[Data Entity ]])</f>
        <v>0</v>
      </c>
      <c r="N12" s="1" t="str">
        <f>Lookups!I11</f>
        <v>IMAP</v>
      </c>
      <c r="O12" s="12">
        <f>COUNTIF(InfoFlow[Protocol],ProtocolTable[Protocol])</f>
        <v>0</v>
      </c>
      <c r="Q12" s="1" t="str">
        <f>Lookups!K11</f>
        <v>Other</v>
      </c>
      <c r="R12" s="12">
        <f>COUNTIF(InfoFlow[Format],Table3[Format])</f>
        <v>0</v>
      </c>
      <c r="T12" s="1">
        <f>Entities!H11</f>
        <v>0</v>
      </c>
      <c r="U12" s="1">
        <f>COUNTIF(InfoFlow[Location],Table23[Location])</f>
        <v>0</v>
      </c>
    </row>
    <row r="13" spans="2:21" x14ac:dyDescent="0.35">
      <c r="B13" s="1" t="s">
        <v>84</v>
      </c>
      <c r="C13" s="12">
        <f>COUNTIF(InfoFlow[Initiator],InitiatorTable[Initiator])</f>
        <v>0</v>
      </c>
      <c r="E13" s="1">
        <f>Entities!E12</f>
        <v>0</v>
      </c>
      <c r="F13" s="12">
        <f>COUNTIF(InfoFlow[Source Application],ApplicationTable[Source Application])</f>
        <v>0</v>
      </c>
      <c r="H13" s="1">
        <f>Entities!E12</f>
        <v>0</v>
      </c>
      <c r="I13" s="12">
        <f>COUNTIF(InfoFlow[Destination Application],ApplicationTable21[Destination Application])</f>
        <v>0</v>
      </c>
      <c r="J13" s="12"/>
      <c r="K13" s="13">
        <f>Entities!B12</f>
        <v>0</v>
      </c>
      <c r="L13" s="12">
        <f>COUNTIF(InfoFlow[Data Entity In 1],Table21[[Data Entity ]])</f>
        <v>0</v>
      </c>
      <c r="N13" s="1" t="str">
        <f>Lookups!I12</f>
        <v>POP</v>
      </c>
      <c r="O13" s="12">
        <f>COUNTIF(InfoFlow[Protocol],ProtocolTable[Protocol])</f>
        <v>0</v>
      </c>
      <c r="Q13" s="1" t="str">
        <f>Lookups!K12</f>
        <v>Unknown</v>
      </c>
      <c r="R13" s="12">
        <f>COUNTIF(InfoFlow[Format],Table3[Format])</f>
        <v>0</v>
      </c>
      <c r="T13" s="1">
        <f>Entities!H12</f>
        <v>0</v>
      </c>
      <c r="U13" s="1">
        <f>COUNTIF(InfoFlow[Location],Table23[Location])</f>
        <v>0</v>
      </c>
    </row>
    <row r="14" spans="2:21" x14ac:dyDescent="0.35">
      <c r="B14" s="1" t="s">
        <v>86</v>
      </c>
      <c r="C14" s="12">
        <f>COUNTIF(InfoFlow[Initiator],InitiatorTable[Initiator])</f>
        <v>0</v>
      </c>
      <c r="E14" s="1">
        <f>Entities!E13</f>
        <v>0</v>
      </c>
      <c r="F14" s="12">
        <f>COUNTIF(InfoFlow[Source Application],ApplicationTable[Source Application])</f>
        <v>0</v>
      </c>
      <c r="H14" s="1">
        <f>Entities!E13</f>
        <v>0</v>
      </c>
      <c r="I14" s="12">
        <f>COUNTIF(InfoFlow[Destination Application],ApplicationTable21[Destination Application])</f>
        <v>0</v>
      </c>
      <c r="J14" s="12"/>
      <c r="K14" s="13">
        <f>Entities!B13</f>
        <v>0</v>
      </c>
      <c r="L14" s="12">
        <f>COUNTIF(InfoFlow[Data Entity In 1],Table21[[Data Entity ]])</f>
        <v>0</v>
      </c>
      <c r="N14" s="1" t="str">
        <f>Lookups!I13</f>
        <v>SMTP</v>
      </c>
      <c r="O14" s="12">
        <f>COUNTIF(InfoFlow[Protocol],ProtocolTable[Protocol])</f>
        <v>0</v>
      </c>
      <c r="T14" s="1">
        <f>Entities!H13</f>
        <v>0</v>
      </c>
      <c r="U14" s="1">
        <f>COUNTIF(InfoFlow[Location],Table23[Location])</f>
        <v>0</v>
      </c>
    </row>
    <row r="15" spans="2:21" x14ac:dyDescent="0.35">
      <c r="E15" s="1">
        <f>Entities!E14</f>
        <v>0</v>
      </c>
      <c r="F15" s="12">
        <f>COUNTIF(InfoFlow[Source Application],ApplicationTable[Source Application])</f>
        <v>0</v>
      </c>
      <c r="H15" s="1">
        <f>Entities!E14</f>
        <v>0</v>
      </c>
      <c r="I15" s="12">
        <f>COUNTIF(InfoFlow[Destination Application],ApplicationTable21[Destination Application])</f>
        <v>0</v>
      </c>
      <c r="J15" s="12"/>
      <c r="K15" s="13">
        <f>Entities!B14</f>
        <v>0</v>
      </c>
      <c r="L15" s="12">
        <f>COUNTIF(InfoFlow[Data Entity In 1],Table21[[Data Entity ]])</f>
        <v>0</v>
      </c>
      <c r="N15" s="1" t="str">
        <f>Lookups!I14</f>
        <v>NFS</v>
      </c>
      <c r="O15" s="12">
        <f>COUNTIF(InfoFlow[Protocol],ProtocolTable[Protocol])</f>
        <v>0</v>
      </c>
      <c r="T15" s="1">
        <f>Entities!H14</f>
        <v>0</v>
      </c>
      <c r="U15" s="1">
        <f>COUNTIF(InfoFlow[Location],Table23[Location])</f>
        <v>0</v>
      </c>
    </row>
    <row r="16" spans="2:21" x14ac:dyDescent="0.35">
      <c r="E16" s="1">
        <f>Entities!E15</f>
        <v>0</v>
      </c>
      <c r="F16" s="12">
        <f>COUNTIF(InfoFlow[Source Application],ApplicationTable[Source Application])</f>
        <v>0</v>
      </c>
      <c r="H16" s="1">
        <f>Entities!E15</f>
        <v>0</v>
      </c>
      <c r="I16" s="12">
        <f>COUNTIF(InfoFlow[Destination Application],ApplicationTable21[Destination Application])</f>
        <v>0</v>
      </c>
      <c r="J16" s="12"/>
      <c r="K16" s="13">
        <f>Entities!B15</f>
        <v>0</v>
      </c>
      <c r="L16" s="12">
        <f>COUNTIF(InfoFlow[Data Entity In 1],Table21[[Data Entity ]])</f>
        <v>0</v>
      </c>
      <c r="N16" s="1" t="str">
        <f>Lookups!I15</f>
        <v>SMB</v>
      </c>
      <c r="O16" s="12">
        <f>COUNTIF(InfoFlow[Protocol],ProtocolTable[Protocol])</f>
        <v>0</v>
      </c>
      <c r="T16" s="1">
        <f>Entities!H15</f>
        <v>0</v>
      </c>
      <c r="U16" s="1">
        <f>COUNTIF(InfoFlow[Location],Table23[Location])</f>
        <v>0</v>
      </c>
    </row>
    <row r="17" spans="5:21" x14ac:dyDescent="0.35">
      <c r="E17" s="1">
        <f>Entities!E16</f>
        <v>0</v>
      </c>
      <c r="F17" s="12">
        <f>COUNTIF(InfoFlow[Source Application],ApplicationTable[Source Application])</f>
        <v>0</v>
      </c>
      <c r="H17" s="1">
        <f>Entities!E16</f>
        <v>0</v>
      </c>
      <c r="I17" s="12">
        <f>COUNTIF(InfoFlow[Destination Application],ApplicationTable21[Destination Application])</f>
        <v>0</v>
      </c>
      <c r="J17" s="12"/>
      <c r="K17" s="13">
        <f>Entities!B16</f>
        <v>0</v>
      </c>
      <c r="L17" s="12">
        <f>COUNTIF(InfoFlow[Data Entity In 1],Table21[[Data Entity ]])</f>
        <v>0</v>
      </c>
      <c r="N17" s="1" t="str">
        <f>Lookups!I16</f>
        <v>CIFS</v>
      </c>
      <c r="O17" s="12">
        <f>COUNTIF(InfoFlow[Protocol],ProtocolTable[Protocol])</f>
        <v>0</v>
      </c>
      <c r="T17" s="1">
        <f>Entities!H16</f>
        <v>0</v>
      </c>
      <c r="U17" s="1">
        <f>COUNTIF(InfoFlow[Location],Table23[Location])</f>
        <v>0</v>
      </c>
    </row>
    <row r="18" spans="5:21" x14ac:dyDescent="0.35">
      <c r="E18" s="1">
        <f>Entities!E17</f>
        <v>0</v>
      </c>
      <c r="F18" s="12">
        <f>COUNTIF(InfoFlow[Source Application],ApplicationTable[Source Application])</f>
        <v>0</v>
      </c>
      <c r="H18" s="1">
        <f>Entities!E17</f>
        <v>0</v>
      </c>
      <c r="I18" s="12">
        <f>COUNTIF(InfoFlow[Destination Application],ApplicationTable21[Destination Application])</f>
        <v>0</v>
      </c>
      <c r="J18" s="12"/>
      <c r="K18" s="13">
        <f>Entities!B17</f>
        <v>0</v>
      </c>
      <c r="L18" s="12">
        <f>COUNTIF(InfoFlow[Data Entity In 1],Table21[[Data Entity ]])</f>
        <v>0</v>
      </c>
      <c r="N18" s="1" t="str">
        <f>Lookups!I17</f>
        <v>FTP</v>
      </c>
      <c r="O18" s="12">
        <f>COUNTIF(InfoFlow[Protocol],ProtocolTable[Protocol])</f>
        <v>0</v>
      </c>
      <c r="T18" s="1">
        <f>Entities!H17</f>
        <v>0</v>
      </c>
      <c r="U18" s="1">
        <f>COUNTIF(InfoFlow[Location],Table23[Location])</f>
        <v>0</v>
      </c>
    </row>
    <row r="19" spans="5:21" x14ac:dyDescent="0.35">
      <c r="E19" s="1">
        <f>Entities!E18</f>
        <v>0</v>
      </c>
      <c r="F19" s="12">
        <f>COUNTIF(InfoFlow[Source Application],ApplicationTable[Source Application])</f>
        <v>0</v>
      </c>
      <c r="H19" s="1">
        <f>Entities!E18</f>
        <v>0</v>
      </c>
      <c r="I19" s="12">
        <f>COUNTIF(InfoFlow[Destination Application],ApplicationTable21[Destination Application])</f>
        <v>0</v>
      </c>
      <c r="J19" s="12"/>
      <c r="K19" s="13">
        <f>Entities!B18</f>
        <v>0</v>
      </c>
      <c r="L19" s="12">
        <f>COUNTIF(InfoFlow[Data Entity In 1],Table21[[Data Entity ]])</f>
        <v>0</v>
      </c>
      <c r="N19" s="1" t="str">
        <f>Lookups!I18</f>
        <v>SFTP</v>
      </c>
      <c r="O19" s="12">
        <f>COUNTIF(InfoFlow[Protocol],ProtocolTable[Protocol])</f>
        <v>0</v>
      </c>
      <c r="T19" s="1">
        <f>Entities!H18</f>
        <v>0</v>
      </c>
      <c r="U19" s="1">
        <f>COUNTIF(InfoFlow[Location],Table23[Location])</f>
        <v>0</v>
      </c>
    </row>
    <row r="20" spans="5:21" x14ac:dyDescent="0.35">
      <c r="E20" s="1">
        <f>Entities!E19</f>
        <v>0</v>
      </c>
      <c r="F20" s="20">
        <f>COUNTIF(InfoFlow[Source Application],ApplicationTable[Source Application])</f>
        <v>0</v>
      </c>
      <c r="H20" s="1">
        <f>Entities!E19</f>
        <v>0</v>
      </c>
      <c r="I20" s="20">
        <f>COUNTIF(InfoFlow[Destination Application],ApplicationTable21[Destination Application])</f>
        <v>0</v>
      </c>
      <c r="K20" s="13">
        <f>Entities!B19</f>
        <v>0</v>
      </c>
      <c r="L20" s="20">
        <f>COUNTIF(InfoFlow[Data Entity In 1],Table21[[Data Entity ]])</f>
        <v>0</v>
      </c>
      <c r="N20" s="1" t="str">
        <f>Lookups!I19</f>
        <v>AMQP</v>
      </c>
      <c r="O20" s="12">
        <f>COUNTIF(InfoFlow[Protocol],ProtocolTable[Protocol])</f>
        <v>0</v>
      </c>
      <c r="T20" s="1">
        <f>Entities!H19</f>
        <v>0</v>
      </c>
      <c r="U20" s="1">
        <f>COUNTIF(InfoFlow[Location],Table23[Location])</f>
        <v>0</v>
      </c>
    </row>
    <row r="21" spans="5:21" x14ac:dyDescent="0.35">
      <c r="E21" s="1">
        <f>Entities!E20</f>
        <v>0</v>
      </c>
      <c r="F21" s="20">
        <f>COUNTIF(InfoFlow[Source Application],ApplicationTable[Source Application])</f>
        <v>0</v>
      </c>
      <c r="H21" s="1">
        <f>Entities!E20</f>
        <v>0</v>
      </c>
      <c r="I21" s="20">
        <f>COUNTIF(InfoFlow[Destination Application],ApplicationTable21[Destination Application])</f>
        <v>0</v>
      </c>
      <c r="K21" s="13">
        <f>Entities!B20</f>
        <v>0</v>
      </c>
      <c r="L21" s="20">
        <f>COUNTIF(InfoFlow[Data Entity In 1],Table21[[Data Entity ]])</f>
        <v>0</v>
      </c>
      <c r="N21" s="1" t="str">
        <f>Lookups!I20</f>
        <v>DDS</v>
      </c>
      <c r="O21" s="18">
        <f>COUNTIF(InfoFlow[Protocol],ProtocolTable[Protocol])</f>
        <v>0</v>
      </c>
      <c r="T21" s="1">
        <f>Entities!H20</f>
        <v>0</v>
      </c>
      <c r="U21" s="1">
        <f>COUNTIF(InfoFlow[Location],Table23[Location])</f>
        <v>0</v>
      </c>
    </row>
    <row r="22" spans="5:21" x14ac:dyDescent="0.35">
      <c r="E22" s="1">
        <f>Entities!E21</f>
        <v>0</v>
      </c>
      <c r="F22" s="20">
        <f>COUNTIF(InfoFlow[Source Application],ApplicationTable[Source Application])</f>
        <v>0</v>
      </c>
      <c r="H22" s="1">
        <f>Entities!E21</f>
        <v>0</v>
      </c>
      <c r="I22" s="20">
        <f>COUNTIF(InfoFlow[Destination Application],ApplicationTable21[Destination Application])</f>
        <v>0</v>
      </c>
      <c r="K22" s="13">
        <f>Entities!B21</f>
        <v>0</v>
      </c>
      <c r="L22" s="20">
        <f>COUNTIF(InfoFlow[Data Entity In 1],Table21[[Data Entity ]])</f>
        <v>0</v>
      </c>
      <c r="N22" s="1" t="str">
        <f>Lookups!I21</f>
        <v>XMPP</v>
      </c>
      <c r="O22" s="18">
        <f>COUNTIF(InfoFlow[Protocol],ProtocolTable[Protocol])</f>
        <v>0</v>
      </c>
    </row>
    <row r="23" spans="5:21" x14ac:dyDescent="0.35">
      <c r="E23" s="1">
        <f>Entities!E22</f>
        <v>0</v>
      </c>
      <c r="F23" s="20">
        <f>COUNTIF(InfoFlow[Source Application],ApplicationTable[Source Application])</f>
        <v>0</v>
      </c>
      <c r="H23" s="1">
        <f>Entities!E22</f>
        <v>0</v>
      </c>
      <c r="I23" s="20">
        <f>COUNTIF(InfoFlow[Destination Application],ApplicationTable21[Destination Application])</f>
        <v>0</v>
      </c>
      <c r="K23" s="13">
        <f>Entities!B22</f>
        <v>0</v>
      </c>
      <c r="L23" s="20">
        <f>COUNTIF(InfoFlow[Data Entity In 1],Table21[[Data Entity ]])</f>
        <v>0</v>
      </c>
      <c r="N23" s="1" t="str">
        <f>Lookups!I22</f>
        <v>MQTT</v>
      </c>
      <c r="O23" s="18">
        <f>COUNTIF(InfoFlow[Protocol],ProtocolTable[Protocol])</f>
        <v>0</v>
      </c>
    </row>
    <row r="24" spans="5:21" x14ac:dyDescent="0.35">
      <c r="E24" s="1">
        <f>Entities!E23</f>
        <v>0</v>
      </c>
      <c r="F24" s="20">
        <f>COUNTIF(InfoFlow[Source Application],ApplicationTable[Source Application])</f>
        <v>0</v>
      </c>
      <c r="H24" s="1">
        <f>Entities!E23</f>
        <v>0</v>
      </c>
      <c r="I24" s="20">
        <f>COUNTIF(InfoFlow[Destination Application],ApplicationTable21[Destination Application])</f>
        <v>0</v>
      </c>
      <c r="K24" s="13">
        <f>Entities!B23</f>
        <v>0</v>
      </c>
      <c r="L24" s="20">
        <f>COUNTIF(InfoFlow[Data Entity In 1],Table21[[Data Entity ]])</f>
        <v>0</v>
      </c>
      <c r="N24" s="1" t="str">
        <f>Lookups!I23</f>
        <v>Apple</v>
      </c>
      <c r="O24" s="18">
        <f>COUNTIF(InfoFlow[Protocol],ProtocolTable[Protocol])</f>
        <v>0</v>
      </c>
    </row>
    <row r="25" spans="5:21" x14ac:dyDescent="0.35">
      <c r="E25" s="1">
        <f>Entities!E24</f>
        <v>0</v>
      </c>
      <c r="F25" s="20">
        <f>COUNTIF(InfoFlow[Source Application],ApplicationTable[Source Application])</f>
        <v>0</v>
      </c>
      <c r="H25" s="1">
        <f>Entities!E24</f>
        <v>0</v>
      </c>
      <c r="I25" s="20">
        <f>COUNTIF(InfoFlow[Destination Application],ApplicationTable21[Destination Application])</f>
        <v>0</v>
      </c>
      <c r="K25" s="13">
        <f>Entities!B24</f>
        <v>0</v>
      </c>
      <c r="L25" s="20">
        <f>COUNTIF(InfoFlow[Data Entity In 1],Table21[[Data Entity ]])</f>
        <v>0</v>
      </c>
      <c r="N25" s="1" t="str">
        <f>Lookups!I24</f>
        <v>Android</v>
      </c>
      <c r="O25" s="18">
        <f>COUNTIF(InfoFlow[Protocol],ProtocolTable[Protocol])</f>
        <v>0</v>
      </c>
    </row>
    <row r="26" spans="5:21" x14ac:dyDescent="0.35">
      <c r="E26" s="1">
        <f>Entities!E25</f>
        <v>0</v>
      </c>
      <c r="F26" s="20">
        <f>COUNTIF(InfoFlow[Source Application],ApplicationTable[Source Application])</f>
        <v>0</v>
      </c>
      <c r="H26" s="1">
        <f>Entities!E25</f>
        <v>0</v>
      </c>
      <c r="I26" s="20">
        <f>COUNTIF(InfoFlow[Destination Application],ApplicationTable21[Destination Application])</f>
        <v>0</v>
      </c>
      <c r="K26" s="13">
        <f>Entities!B25</f>
        <v>0</v>
      </c>
      <c r="L26" s="20">
        <f>COUNTIF(InfoFlow[Data Entity In 1],Table21[[Data Entity ]])</f>
        <v>0</v>
      </c>
      <c r="N26" s="1" t="str">
        <f>Lookups!I25</f>
        <v>SMS</v>
      </c>
      <c r="O26" s="18">
        <f>COUNTIF(InfoFlow[Protocol],ProtocolTable[Protocol])</f>
        <v>0</v>
      </c>
    </row>
    <row r="27" spans="5:21" x14ac:dyDescent="0.35">
      <c r="E27" s="1">
        <f>Entities!E26</f>
        <v>0</v>
      </c>
      <c r="F27" s="20">
        <f>COUNTIF(InfoFlow[Source Application],ApplicationTable[Source Application])</f>
        <v>0</v>
      </c>
      <c r="H27" s="1">
        <f>Entities!E26</f>
        <v>0</v>
      </c>
      <c r="I27" s="20">
        <f>COUNTIF(InfoFlow[Destination Application],ApplicationTable21[Destination Application])</f>
        <v>0</v>
      </c>
      <c r="K27" s="13">
        <f>Entities!B26</f>
        <v>0</v>
      </c>
      <c r="L27" s="20">
        <f>COUNTIF(InfoFlow[Data Entity In 1],Table21[[Data Entity ]])</f>
        <v>0</v>
      </c>
      <c r="N27" s="1" t="str">
        <f>Lookups!I26</f>
        <v>iMsg</v>
      </c>
      <c r="O27" s="18">
        <f>COUNTIF(InfoFlow[Protocol],ProtocolTable[Protocol])</f>
        <v>0</v>
      </c>
    </row>
    <row r="28" spans="5:21" x14ac:dyDescent="0.35">
      <c r="E28" s="1">
        <f>Entities!E27</f>
        <v>0</v>
      </c>
      <c r="F28" s="20">
        <f>COUNTIF(InfoFlow[Source Application],ApplicationTable[Source Application])</f>
        <v>0</v>
      </c>
      <c r="H28" s="1">
        <f>Entities!E27</f>
        <v>0</v>
      </c>
      <c r="I28" s="20">
        <f>COUNTIF(InfoFlow[Destination Application],ApplicationTable21[Destination Application])</f>
        <v>0</v>
      </c>
      <c r="K28" s="13">
        <f>Entities!B27</f>
        <v>0</v>
      </c>
      <c r="L28" s="20">
        <f>COUNTIF(InfoFlow[Data Entity In 1],Table21[[Data Entity ]])</f>
        <v>0</v>
      </c>
      <c r="N28" s="1" t="str">
        <f>Lookups!I27</f>
        <v>DHCP</v>
      </c>
      <c r="O28" s="18">
        <f>COUNTIF(InfoFlow[Protocol],ProtocolTable[Protocol])</f>
        <v>0</v>
      </c>
    </row>
    <row r="29" spans="5:21" x14ac:dyDescent="0.35">
      <c r="E29" s="1">
        <f>Entities!E28</f>
        <v>0</v>
      </c>
      <c r="F29" s="20">
        <f>COUNTIF(InfoFlow[Source Application],ApplicationTable[Source Application])</f>
        <v>0</v>
      </c>
      <c r="H29" s="1">
        <f>Entities!E28</f>
        <v>0</v>
      </c>
      <c r="I29" s="20">
        <f>COUNTIF(InfoFlow[Destination Application],ApplicationTable21[Destination Application])</f>
        <v>0</v>
      </c>
      <c r="K29" s="13">
        <f>Entities!B28</f>
        <v>0</v>
      </c>
      <c r="L29" s="20">
        <f>COUNTIF(InfoFlow[Data Entity In 1],Table21[[Data Entity ]])</f>
        <v>0</v>
      </c>
      <c r="N29" s="1" t="str">
        <f>Lookups!I28</f>
        <v>DNS</v>
      </c>
      <c r="O29" s="18">
        <f>COUNTIF(InfoFlow[Protocol],ProtocolTable[Protocol])</f>
        <v>0</v>
      </c>
    </row>
    <row r="30" spans="5:21" x14ac:dyDescent="0.35">
      <c r="E30" s="1">
        <f>Entities!E29</f>
        <v>0</v>
      </c>
      <c r="F30" s="20">
        <f>COUNTIF(InfoFlow[Source Application],ApplicationTable[Source Application])</f>
        <v>0</v>
      </c>
      <c r="H30" s="1">
        <f>Entities!E29</f>
        <v>0</v>
      </c>
      <c r="I30" s="20">
        <f>COUNTIF(InfoFlow[Destination Application],ApplicationTable21[Destination Application])</f>
        <v>0</v>
      </c>
      <c r="K30" s="13">
        <f>Entities!B29</f>
        <v>0</v>
      </c>
      <c r="L30" s="20">
        <f>COUNTIF(InfoFlow[Data Entity In 1],Table21[[Data Entity ]])</f>
        <v>0</v>
      </c>
      <c r="N30" s="1" t="str">
        <f>Lookups!I29</f>
        <v>RDP</v>
      </c>
      <c r="O30" s="18">
        <f>COUNTIF(InfoFlow[Protocol],ProtocolTable[Protocol])</f>
        <v>0</v>
      </c>
    </row>
    <row r="31" spans="5:21" x14ac:dyDescent="0.35">
      <c r="E31" s="1">
        <f>Entities!E30</f>
        <v>0</v>
      </c>
      <c r="F31" s="20">
        <f>COUNTIF(InfoFlow[Source Application],ApplicationTable[Source Application])</f>
        <v>0</v>
      </c>
      <c r="H31" s="1">
        <f>Entities!E30</f>
        <v>0</v>
      </c>
      <c r="I31" s="20">
        <f>COUNTIF(InfoFlow[Destination Application],ApplicationTable21[Destination Application])</f>
        <v>0</v>
      </c>
      <c r="K31" s="13">
        <f>Entities!B30</f>
        <v>0</v>
      </c>
      <c r="L31" s="20">
        <f>COUNTIF(InfoFlow[Data Entity In 1],Table21[[Data Entity ]])</f>
        <v>0</v>
      </c>
      <c r="N31" s="1" t="str">
        <f>Lookups!I30</f>
        <v>TCP</v>
      </c>
      <c r="O31" s="18">
        <f>COUNTIF(InfoFlow[Protocol],ProtocolTable[Protocol])</f>
        <v>0</v>
      </c>
    </row>
    <row r="32" spans="5:21" x14ac:dyDescent="0.35">
      <c r="E32" s="1">
        <f>Entities!E31</f>
        <v>0</v>
      </c>
      <c r="F32" s="20">
        <f>COUNTIF(InfoFlow[Source Application],ApplicationTable[Source Application])</f>
        <v>0</v>
      </c>
      <c r="H32" s="1">
        <f>Entities!E31</f>
        <v>0</v>
      </c>
      <c r="I32" s="20">
        <f>COUNTIF(InfoFlow[Destination Application],ApplicationTable21[Destination Application])</f>
        <v>0</v>
      </c>
      <c r="K32" s="13">
        <f>Entities!B31</f>
        <v>0</v>
      </c>
      <c r="L32" s="20">
        <f>COUNTIF(InfoFlow[Data Entity In 1],Table21[[Data Entity ]])</f>
        <v>0</v>
      </c>
      <c r="N32" s="1" t="str">
        <f>Lookups!I31</f>
        <v>UDP</v>
      </c>
      <c r="O32" s="18">
        <f>COUNTIF(InfoFlow[Protocol],ProtocolTable[Protocol])</f>
        <v>0</v>
      </c>
    </row>
    <row r="33" spans="5:15" x14ac:dyDescent="0.35">
      <c r="E33" s="1">
        <f>Entities!E32</f>
        <v>0</v>
      </c>
      <c r="F33" s="20">
        <f>COUNTIF(InfoFlow[Source Application],ApplicationTable[Source Application])</f>
        <v>0</v>
      </c>
      <c r="H33" s="1">
        <f>Entities!E32</f>
        <v>0</v>
      </c>
      <c r="I33" s="20">
        <f>COUNTIF(InfoFlow[Destination Application],ApplicationTable21[Destination Application])</f>
        <v>0</v>
      </c>
      <c r="K33" s="13">
        <f>Entities!B32</f>
        <v>0</v>
      </c>
      <c r="L33" s="20">
        <f>COUNTIF(InfoFlow[Data Entity In 1],Table21[[Data Entity ]])</f>
        <v>0</v>
      </c>
      <c r="N33" s="1" t="str">
        <f>Lookups!I32</f>
        <v>CMP</v>
      </c>
      <c r="O33" s="18">
        <f>COUNTIF(InfoFlow[Protocol],ProtocolTable[Protocol])</f>
        <v>0</v>
      </c>
    </row>
    <row r="34" spans="5:15" x14ac:dyDescent="0.35">
      <c r="E34" s="1">
        <f>Entities!E33</f>
        <v>0</v>
      </c>
      <c r="F34" s="20">
        <f>COUNTIF(InfoFlow[Source Application],ApplicationTable[Source Application])</f>
        <v>0</v>
      </c>
      <c r="H34" s="1">
        <f>Entities!E33</f>
        <v>0</v>
      </c>
      <c r="I34" s="20">
        <f>COUNTIF(InfoFlow[Destination Application],ApplicationTable21[Destination Application])</f>
        <v>0</v>
      </c>
      <c r="K34" s="13">
        <f>Entities!B33</f>
        <v>0</v>
      </c>
      <c r="L34" s="20">
        <f>COUNTIF(InfoFlow[Data Entity In 1],Table21[[Data Entity ]])</f>
        <v>0</v>
      </c>
      <c r="N34" s="1" t="str">
        <f>Lookups!I33</f>
        <v>LDAP-KRB</v>
      </c>
      <c r="O34" s="18">
        <f>COUNTIF(InfoFlow[Protocol],ProtocolTable[Protocol])</f>
        <v>0</v>
      </c>
    </row>
    <row r="35" spans="5:15" x14ac:dyDescent="0.35">
      <c r="E35" s="1">
        <f>Entities!E34</f>
        <v>0</v>
      </c>
      <c r="F35" s="20">
        <f>COUNTIF(InfoFlow[Source Application],ApplicationTable[Source Application])</f>
        <v>0</v>
      </c>
      <c r="H35" s="1">
        <f>Entities!E34</f>
        <v>0</v>
      </c>
      <c r="I35" s="20">
        <f>COUNTIF(InfoFlow[Destination Application],ApplicationTable21[Destination Application])</f>
        <v>0</v>
      </c>
      <c r="K35" s="13">
        <f>Entities!B34</f>
        <v>0</v>
      </c>
      <c r="L35" s="20">
        <f>COUNTIF(InfoFlow[Data Entity In 1],Table21[[Data Entity ]])</f>
        <v>0</v>
      </c>
      <c r="N35" s="1" t="str">
        <f>Lookups!I34</f>
        <v>TMG</v>
      </c>
      <c r="O35" s="18">
        <f>COUNTIF(InfoFlow[Protocol],ProtocolTable[Protocol])</f>
        <v>0</v>
      </c>
    </row>
    <row r="36" spans="5:15" x14ac:dyDescent="0.35">
      <c r="E36" s="1">
        <f>Entities!E35</f>
        <v>0</v>
      </c>
      <c r="F36" s="20">
        <f>COUNTIF(InfoFlow[Source Application],ApplicationTable[Source Application])</f>
        <v>0</v>
      </c>
      <c r="H36" s="1">
        <f>Entities!E35</f>
        <v>0</v>
      </c>
      <c r="I36" s="20">
        <f>COUNTIF(InfoFlow[Destination Application],ApplicationTable21[Destination Application])</f>
        <v>0</v>
      </c>
      <c r="K36" s="13">
        <f>Entities!B35</f>
        <v>0</v>
      </c>
      <c r="L36" s="20">
        <f>COUNTIF(InfoFlow[Data Entity In 1],Table21[[Data Entity ]])</f>
        <v>0</v>
      </c>
      <c r="N36" s="1" t="str">
        <f>Lookups!I35</f>
        <v>OE</v>
      </c>
      <c r="O36" s="18">
        <f>COUNTIF(InfoFlow[Protocol],ProtocolTable[Protocol])</f>
        <v>0</v>
      </c>
    </row>
    <row r="37" spans="5:15" x14ac:dyDescent="0.35">
      <c r="E37" s="1">
        <f>Entities!E36</f>
        <v>0</v>
      </c>
      <c r="F37" s="20">
        <f>COUNTIF(InfoFlow[Source Application],ApplicationTable[Source Application])</f>
        <v>0</v>
      </c>
      <c r="H37" s="1">
        <f>Entities!E36</f>
        <v>0</v>
      </c>
      <c r="I37" s="20">
        <f>COUNTIF(InfoFlow[Destination Application],ApplicationTable21[Destination Application])</f>
        <v>0</v>
      </c>
      <c r="K37" s="13">
        <f>Entities!B36</f>
        <v>0</v>
      </c>
      <c r="L37" s="20">
        <f>COUNTIF(InfoFlow[Data Entity In 1],Table21[[Data Entity ]])</f>
        <v>0</v>
      </c>
      <c r="N37" s="1" t="str">
        <f>Lookups!I36</f>
        <v>Other</v>
      </c>
      <c r="O37" s="18">
        <f>COUNTIF(InfoFlow[Protocol],ProtocolTable[Protocol])</f>
        <v>0</v>
      </c>
    </row>
    <row r="38" spans="5:15" x14ac:dyDescent="0.35">
      <c r="E38" s="1">
        <f>Entities!E37</f>
        <v>0</v>
      </c>
      <c r="F38" s="20">
        <f>COUNTIF(InfoFlow[Source Application],ApplicationTable[Source Application])</f>
        <v>0</v>
      </c>
      <c r="H38" s="1">
        <f>Entities!E37</f>
        <v>0</v>
      </c>
      <c r="I38" s="20">
        <f>COUNTIF(InfoFlow[Destination Application],ApplicationTable21[Destination Application])</f>
        <v>0</v>
      </c>
      <c r="K38" s="13">
        <f>Entities!B37</f>
        <v>0</v>
      </c>
      <c r="L38" s="20">
        <f>COUNTIF(InfoFlow[Data Entity In 1],Table21[[Data Entity ]])</f>
        <v>0</v>
      </c>
      <c r="N38" s="1" t="str">
        <f>Lookups!I37</f>
        <v>Unknown</v>
      </c>
      <c r="O38" s="18">
        <f>COUNTIF(InfoFlow[Protocol],ProtocolTable[Protocol])</f>
        <v>0</v>
      </c>
    </row>
    <row r="39" spans="5:15" x14ac:dyDescent="0.35">
      <c r="E39" s="1">
        <f>Entities!E38</f>
        <v>0</v>
      </c>
      <c r="F39" s="20">
        <f>COUNTIF(InfoFlow[Source Application],ApplicationTable[Source Application])</f>
        <v>0</v>
      </c>
      <c r="H39" s="1">
        <f>Entities!E38</f>
        <v>0</v>
      </c>
      <c r="I39" s="20">
        <f>COUNTIF(InfoFlow[Destination Application],ApplicationTable21[Destination Application])</f>
        <v>0</v>
      </c>
      <c r="K39" s="13">
        <f>Entities!B38</f>
        <v>0</v>
      </c>
      <c r="L39" s="20">
        <f>COUNTIF(InfoFlow[Data Entity In 1],Table21[[Data Entity ]])</f>
        <v>0</v>
      </c>
    </row>
    <row r="40" spans="5:15" x14ac:dyDescent="0.35">
      <c r="E40" s="1">
        <f>Entities!E39</f>
        <v>0</v>
      </c>
      <c r="F40" s="20">
        <f>COUNTIF(InfoFlow[Source Application],ApplicationTable[Source Application])</f>
        <v>0</v>
      </c>
      <c r="H40" s="1">
        <f>Entities!E39</f>
        <v>0</v>
      </c>
      <c r="I40" s="20">
        <f>COUNTIF(InfoFlow[Destination Application],ApplicationTable21[Destination Application])</f>
        <v>0</v>
      </c>
      <c r="K40" s="13">
        <f>Entities!B39</f>
        <v>0</v>
      </c>
      <c r="L40" s="20">
        <f>COUNTIF(InfoFlow[Data Entity In 1],Table21[[Data Entity ]])</f>
        <v>0</v>
      </c>
    </row>
    <row r="41" spans="5:15" x14ac:dyDescent="0.35">
      <c r="E41" s="1">
        <f>Entities!E40</f>
        <v>0</v>
      </c>
      <c r="F41" s="20">
        <f>COUNTIF(InfoFlow[Source Application],ApplicationTable[Source Application])</f>
        <v>0</v>
      </c>
      <c r="H41" s="1">
        <f>Entities!E40</f>
        <v>0</v>
      </c>
      <c r="I41" s="20">
        <f>COUNTIF(InfoFlow[Destination Application],ApplicationTable21[Destination Application])</f>
        <v>0</v>
      </c>
      <c r="K41" s="13">
        <f>Entities!B40</f>
        <v>0</v>
      </c>
      <c r="L41" s="20">
        <f>COUNTIF(InfoFlow[Data Entity In 1],Table21[[Data Entity ]])</f>
        <v>0</v>
      </c>
    </row>
    <row r="42" spans="5:15" x14ac:dyDescent="0.35">
      <c r="K42" s="13">
        <f>Entities!B41</f>
        <v>0</v>
      </c>
      <c r="L42" s="20">
        <f>COUNTIF(InfoFlow[Data Entity In 1],Table21[[Data Entity ]])</f>
        <v>0</v>
      </c>
    </row>
    <row r="43" spans="5:15" x14ac:dyDescent="0.35">
      <c r="K43" s="13">
        <f>Entities!B42</f>
        <v>0</v>
      </c>
      <c r="L43" s="20">
        <f>COUNTIF(InfoFlow[Data Entity In 1],Table21[[Data Entity ]])</f>
        <v>0</v>
      </c>
    </row>
    <row r="44" spans="5:15" x14ac:dyDescent="0.35">
      <c r="K44" s="13">
        <f>Entities!B43</f>
        <v>0</v>
      </c>
      <c r="L44" s="20">
        <f>COUNTIF(InfoFlow[Data Entity In 1],Table21[[Data Entity ]])</f>
        <v>0</v>
      </c>
    </row>
    <row r="45" spans="5:15" x14ac:dyDescent="0.35">
      <c r="K45" s="13">
        <f>Entities!B44</f>
        <v>0</v>
      </c>
      <c r="L45" s="20">
        <f>COUNTIF(InfoFlow[Data Entity In 1],Table21[[Data Entity ]])</f>
        <v>0</v>
      </c>
    </row>
    <row r="46" spans="5:15" x14ac:dyDescent="0.35">
      <c r="K46" s="13">
        <f>Entities!B45</f>
        <v>0</v>
      </c>
      <c r="L46" s="20">
        <f>COUNTIF(InfoFlow[Data Entity In 1],Table21[[Data Entity ]])</f>
        <v>0</v>
      </c>
    </row>
    <row r="47" spans="5:15" x14ac:dyDescent="0.35">
      <c r="K47" s="13">
        <f>Entities!B46</f>
        <v>0</v>
      </c>
      <c r="L47" s="20">
        <f>COUNTIF(InfoFlow[Data Entity In 1],Table21[[Data Entity ]])</f>
        <v>0</v>
      </c>
    </row>
    <row r="48" spans="5:15" x14ac:dyDescent="0.35">
      <c r="K48" s="13">
        <f>Entities!B47</f>
        <v>0</v>
      </c>
      <c r="L48" s="20">
        <f>COUNTIF(InfoFlow[Data Entity In 1],Table21[[Data Entity ]])</f>
        <v>0</v>
      </c>
    </row>
    <row r="49" spans="11:12" x14ac:dyDescent="0.35">
      <c r="K49" s="13">
        <f>Entities!B48</f>
        <v>0</v>
      </c>
      <c r="L49" s="20">
        <f>COUNTIF(InfoFlow[Data Entity In 1],Table21[[Data Entity ]])</f>
        <v>0</v>
      </c>
    </row>
    <row r="50" spans="11:12" x14ac:dyDescent="0.35">
      <c r="K50" s="13">
        <f>Entities!B49</f>
        <v>0</v>
      </c>
      <c r="L50" s="20">
        <f>COUNTIF(InfoFlow[Data Entity In 1],Table21[[Data Entity ]])</f>
        <v>0</v>
      </c>
    </row>
    <row r="51" spans="11:12" x14ac:dyDescent="0.35">
      <c r="K51" s="13">
        <f>Entities!B50</f>
        <v>0</v>
      </c>
      <c r="L51" s="20">
        <f>COUNTIF(InfoFlow[Data Entity In 1],Table21[[Data Entity ]])</f>
        <v>0</v>
      </c>
    </row>
  </sheetData>
  <dataValidations count="1">
    <dataValidation allowBlank="1" showInputMessage="1" sqref="E3:E41 H3:H41"/>
  </dataValidations>
  <pageMargins left="0.25" right="0.25" top="0.75" bottom="0.75" header="0.3" footer="0.3"/>
  <pageSetup orientation="landscape" r:id="rId1"/>
  <headerFooter>
    <oddHeader>&amp;L&amp;"EMprint Regular,Regular"&amp;16&amp;K3A397BTitle&amp;R&amp;G</oddHeader>
  </headerFooter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</sheetPr>
  <dimension ref="A1:K41"/>
  <sheetViews>
    <sheetView showGridLines="0" zoomScale="85" zoomScaleNormal="85" workbookViewId="0">
      <pane ySplit="1" topLeftCell="A2" activePane="bottomLeft" state="frozen"/>
      <selection pane="bottomLeft" activeCell="J2" sqref="J2"/>
    </sheetView>
  </sheetViews>
  <sheetFormatPr defaultColWidth="11.25" defaultRowHeight="15.5" x14ac:dyDescent="0.35"/>
  <cols>
    <col min="1" max="2" width="13.6640625" style="6" customWidth="1"/>
    <col min="3" max="3" width="75.58203125" style="6" customWidth="1"/>
    <col min="4" max="4" width="4.58203125" style="6" customWidth="1"/>
    <col min="5" max="6" width="13.6640625" style="6" customWidth="1"/>
    <col min="7" max="7" width="75.58203125" style="6" customWidth="1"/>
    <col min="8" max="8" width="4.58203125" style="6" customWidth="1"/>
    <col min="9" max="10" width="13.9140625" style="6" customWidth="1"/>
    <col min="11" max="11" width="75.58203125" style="6" customWidth="1"/>
    <col min="12" max="16384" width="11.25" style="6"/>
  </cols>
  <sheetData>
    <row r="1" spans="1:11" x14ac:dyDescent="0.35">
      <c r="A1" s="6" t="s">
        <v>11</v>
      </c>
      <c r="B1" s="6" t="s">
        <v>366</v>
      </c>
      <c r="C1" s="6" t="s">
        <v>257</v>
      </c>
      <c r="E1" s="6" t="s">
        <v>11</v>
      </c>
      <c r="F1" s="6" t="s">
        <v>366</v>
      </c>
      <c r="G1" s="6" t="s">
        <v>257</v>
      </c>
      <c r="I1" s="6" t="s">
        <v>11</v>
      </c>
      <c r="J1" s="6" t="s">
        <v>366</v>
      </c>
      <c r="K1" s="6" t="s">
        <v>257</v>
      </c>
    </row>
    <row r="2" spans="1:11" x14ac:dyDescent="0.35">
      <c r="A2" s="6" t="s">
        <v>30</v>
      </c>
      <c r="B2" s="6">
        <f>VLOOKUP(InfoFlowVisuals1[[#This Row],[Info Flow Id]],InfoFlow[[Info Flow Id]:[Source Application]],2,FALSE)</f>
        <v>1</v>
      </c>
      <c r="C2" s="6" t="str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Logical app component name 1 -&gt; Logical app component name 2</v>
      </c>
      <c r="E2" s="6" t="s">
        <v>89</v>
      </c>
      <c r="F2" s="6" t="e">
        <f>VLOOKUP(InfoFlowVisuals2[[#This Row],[Info Flow Id]],InfoFlow[[Info Flow Id]:[Source Application]],2,FALSE)</f>
        <v>#N/A</v>
      </c>
      <c r="G2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" s="6" t="s">
        <v>90</v>
      </c>
      <c r="J2" s="6" t="e">
        <f>VLOOKUP(InfoFlowVisuals3[[#This Row],[Info Flow Id]],InfoFlow[[Info Flow Id]:[Source Application]],2,FALSE)</f>
        <v>#N/A</v>
      </c>
      <c r="K2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" spans="1:11" x14ac:dyDescent="0.35">
      <c r="A3" s="6" t="s">
        <v>35</v>
      </c>
      <c r="B3" s="6">
        <f>VLOOKUP(InfoFlowVisuals1[[#This Row],[Info Flow Id]],InfoFlow[[Info Flow Id]:[Source Application]],2,FALSE)</f>
        <v>2</v>
      </c>
      <c r="C3" s="6" t="str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Logical technology component 1 &lt;- Logical technology component 2</v>
      </c>
      <c r="E3" s="6" t="s">
        <v>91</v>
      </c>
      <c r="F3" s="6" t="e">
        <f>VLOOKUP(InfoFlowVisuals2[[#This Row],[Info Flow Id]],InfoFlow[[Info Flow Id]:[Source Application]],2,FALSE)</f>
        <v>#N/A</v>
      </c>
      <c r="G3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" s="6" t="s">
        <v>92</v>
      </c>
      <c r="J3" s="6" t="e">
        <f>VLOOKUP(InfoFlowVisuals3[[#This Row],[Info Flow Id]],InfoFlow[[Info Flow Id]:[Source Application]],2,FALSE)</f>
        <v>#N/A</v>
      </c>
      <c r="K3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4" spans="1:11" x14ac:dyDescent="0.35">
      <c r="A4" s="6" t="s">
        <v>37</v>
      </c>
      <c r="B4" s="6">
        <f>VLOOKUP(InfoFlowVisuals1[[#This Row],[Info Flow Id]],InfoFlow[[Info Flow Id]:[Source Application]],2,FALSE)</f>
        <v>3</v>
      </c>
      <c r="C4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4" s="6" t="s">
        <v>93</v>
      </c>
      <c r="F4" s="6" t="e">
        <f>VLOOKUP(InfoFlowVisuals2[[#This Row],[Info Flow Id]],InfoFlow[[Info Flow Id]:[Source Application]],2,FALSE)</f>
        <v>#N/A</v>
      </c>
      <c r="G4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4" s="6" t="s">
        <v>94</v>
      </c>
      <c r="J4" s="6" t="e">
        <f>VLOOKUP(InfoFlowVisuals3[[#This Row],[Info Flow Id]],InfoFlow[[Info Flow Id]:[Source Application]],2,FALSE)</f>
        <v>#N/A</v>
      </c>
      <c r="K4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5" spans="1:11" x14ac:dyDescent="0.35">
      <c r="A5" s="6" t="s">
        <v>38</v>
      </c>
      <c r="B5" s="6">
        <f>VLOOKUP(InfoFlowVisuals1[[#This Row],[Info Flow Id]],InfoFlow[[Info Flow Id]:[Source Application]],2,FALSE)</f>
        <v>4</v>
      </c>
      <c r="C5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5" s="6" t="s">
        <v>95</v>
      </c>
      <c r="F5" s="6" t="e">
        <f>VLOOKUP(InfoFlowVisuals2[[#This Row],[Info Flow Id]],InfoFlow[[Info Flow Id]:[Source Application]],2,FALSE)</f>
        <v>#N/A</v>
      </c>
      <c r="G5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5" s="6" t="s">
        <v>96</v>
      </c>
      <c r="J5" s="6" t="e">
        <f>VLOOKUP(InfoFlowVisuals3[[#This Row],[Info Flow Id]],InfoFlow[[Info Flow Id]:[Source Application]],2,FALSE)</f>
        <v>#N/A</v>
      </c>
      <c r="K5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6" spans="1:11" x14ac:dyDescent="0.35">
      <c r="A6" s="6" t="s">
        <v>39</v>
      </c>
      <c r="B6" s="6">
        <f>VLOOKUP(InfoFlowVisuals1[[#This Row],[Info Flow Id]],InfoFlow[[Info Flow Id]:[Source Application]],2,FALSE)</f>
        <v>5</v>
      </c>
      <c r="C6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6" s="6" t="s">
        <v>97</v>
      </c>
      <c r="F6" s="6" t="e">
        <f>VLOOKUP(InfoFlowVisuals2[[#This Row],[Info Flow Id]],InfoFlow[[Info Flow Id]:[Source Application]],2,FALSE)</f>
        <v>#N/A</v>
      </c>
      <c r="G6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6" s="6" t="s">
        <v>98</v>
      </c>
      <c r="J6" s="6" t="e">
        <f>VLOOKUP(InfoFlowVisuals3[[#This Row],[Info Flow Id]],InfoFlow[[Info Flow Id]:[Source Application]],2,FALSE)</f>
        <v>#N/A</v>
      </c>
      <c r="K6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7" spans="1:11" x14ac:dyDescent="0.35">
      <c r="A7" s="6" t="s">
        <v>40</v>
      </c>
      <c r="B7" s="6">
        <f>VLOOKUP(InfoFlowVisuals1[[#This Row],[Info Flow Id]],InfoFlow[[Info Flow Id]:[Source Application]],2,FALSE)</f>
        <v>6</v>
      </c>
      <c r="C7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7" s="6" t="s">
        <v>99</v>
      </c>
      <c r="F7" s="6" t="e">
        <f>VLOOKUP(InfoFlowVisuals2[[#This Row],[Info Flow Id]],InfoFlow[[Info Flow Id]:[Source Application]],2,FALSE)</f>
        <v>#N/A</v>
      </c>
      <c r="G7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7" s="6" t="s">
        <v>100</v>
      </c>
      <c r="J7" s="6" t="e">
        <f>VLOOKUP(InfoFlowVisuals3[[#This Row],[Info Flow Id]],InfoFlow[[Info Flow Id]:[Source Application]],2,FALSE)</f>
        <v>#N/A</v>
      </c>
      <c r="K7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8" spans="1:11" x14ac:dyDescent="0.35">
      <c r="A8" s="6" t="s">
        <v>41</v>
      </c>
      <c r="B8" s="6">
        <f>VLOOKUP(InfoFlowVisuals1[[#This Row],[Info Flow Id]],InfoFlow[[Info Flow Id]:[Source Application]],2,FALSE)</f>
        <v>7</v>
      </c>
      <c r="C8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8" s="6" t="s">
        <v>101</v>
      </c>
      <c r="F8" s="6" t="e">
        <f>VLOOKUP(InfoFlowVisuals2[[#This Row],[Info Flow Id]],InfoFlow[[Info Flow Id]:[Source Application]],2,FALSE)</f>
        <v>#N/A</v>
      </c>
      <c r="G8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8" s="6" t="s">
        <v>102</v>
      </c>
      <c r="J8" s="6" t="e">
        <f>VLOOKUP(InfoFlowVisuals3[[#This Row],[Info Flow Id]],InfoFlow[[Info Flow Id]:[Source Application]],2,FALSE)</f>
        <v>#N/A</v>
      </c>
      <c r="K8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9" spans="1:11" x14ac:dyDescent="0.35">
      <c r="A9" s="6" t="s">
        <v>42</v>
      </c>
      <c r="B9" s="6">
        <f>VLOOKUP(InfoFlowVisuals1[[#This Row],[Info Flow Id]],InfoFlow[[Info Flow Id]:[Source Application]],2,FALSE)</f>
        <v>8</v>
      </c>
      <c r="C9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9" s="6" t="s">
        <v>103</v>
      </c>
      <c r="F9" s="6" t="e">
        <f>VLOOKUP(InfoFlowVisuals2[[#This Row],[Info Flow Id]],InfoFlow[[Info Flow Id]:[Source Application]],2,FALSE)</f>
        <v>#N/A</v>
      </c>
      <c r="G9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9" s="6" t="s">
        <v>104</v>
      </c>
      <c r="J9" s="6" t="e">
        <f>VLOOKUP(InfoFlowVisuals3[[#This Row],[Info Flow Id]],InfoFlow[[Info Flow Id]:[Source Application]],2,FALSE)</f>
        <v>#N/A</v>
      </c>
      <c r="K9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0" spans="1:11" x14ac:dyDescent="0.35">
      <c r="A10" s="6" t="s">
        <v>43</v>
      </c>
      <c r="B10" s="6">
        <f>VLOOKUP(InfoFlowVisuals1[[#This Row],[Info Flow Id]],InfoFlow[[Info Flow Id]:[Source Application]],2,FALSE)</f>
        <v>9</v>
      </c>
      <c r="C10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0" s="6" t="s">
        <v>105</v>
      </c>
      <c r="F10" s="6" t="e">
        <f>VLOOKUP(InfoFlowVisuals2[[#This Row],[Info Flow Id]],InfoFlow[[Info Flow Id]:[Source Application]],2,FALSE)</f>
        <v>#N/A</v>
      </c>
      <c r="G10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0" s="6" t="s">
        <v>106</v>
      </c>
      <c r="J10" s="6" t="e">
        <f>VLOOKUP(InfoFlowVisuals3[[#This Row],[Info Flow Id]],InfoFlow[[Info Flow Id]:[Source Application]],2,FALSE)</f>
        <v>#N/A</v>
      </c>
      <c r="K10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1" spans="1:11" x14ac:dyDescent="0.35">
      <c r="A11" s="6" t="s">
        <v>44</v>
      </c>
      <c r="B11" s="6">
        <f>VLOOKUP(InfoFlowVisuals1[[#This Row],[Info Flow Id]],InfoFlow[[Info Flow Id]:[Source Application]],2,FALSE)</f>
        <v>10</v>
      </c>
      <c r="C11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1" s="6" t="s">
        <v>107</v>
      </c>
      <c r="F11" s="6" t="e">
        <f>VLOOKUP(InfoFlowVisuals2[[#This Row],[Info Flow Id]],InfoFlow[[Info Flow Id]:[Source Application]],2,FALSE)</f>
        <v>#N/A</v>
      </c>
      <c r="G11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1" s="6" t="s">
        <v>108</v>
      </c>
      <c r="J11" s="6" t="e">
        <f>VLOOKUP(InfoFlowVisuals3[[#This Row],[Info Flow Id]],InfoFlow[[Info Flow Id]:[Source Application]],2,FALSE)</f>
        <v>#N/A</v>
      </c>
      <c r="K11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2" spans="1:11" x14ac:dyDescent="0.35">
      <c r="A12" s="6" t="s">
        <v>45</v>
      </c>
      <c r="B12" s="6">
        <f>VLOOKUP(InfoFlowVisuals1[[#This Row],[Info Flow Id]],InfoFlow[[Info Flow Id]:[Source Application]],2,FALSE)</f>
        <v>11</v>
      </c>
      <c r="C12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2" s="6" t="s">
        <v>109</v>
      </c>
      <c r="F12" s="6" t="e">
        <f>VLOOKUP(InfoFlowVisuals2[[#This Row],[Info Flow Id]],InfoFlow[[Info Flow Id]:[Source Application]],2,FALSE)</f>
        <v>#N/A</v>
      </c>
      <c r="G12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2" s="6" t="s">
        <v>110</v>
      </c>
      <c r="J12" s="6" t="e">
        <f>VLOOKUP(InfoFlowVisuals3[[#This Row],[Info Flow Id]],InfoFlow[[Info Flow Id]:[Source Application]],2,FALSE)</f>
        <v>#N/A</v>
      </c>
      <c r="K12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3" spans="1:11" x14ac:dyDescent="0.35">
      <c r="A13" s="6" t="s">
        <v>46</v>
      </c>
      <c r="B13" s="6">
        <f>VLOOKUP(InfoFlowVisuals1[[#This Row],[Info Flow Id]],InfoFlow[[Info Flow Id]:[Source Application]],2,FALSE)</f>
        <v>12</v>
      </c>
      <c r="C13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3" s="6" t="s">
        <v>111</v>
      </c>
      <c r="F13" s="6" t="e">
        <f>VLOOKUP(InfoFlowVisuals2[[#This Row],[Info Flow Id]],InfoFlow[[Info Flow Id]:[Source Application]],2,FALSE)</f>
        <v>#N/A</v>
      </c>
      <c r="G13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3" s="6" t="s">
        <v>112</v>
      </c>
      <c r="J13" s="6" t="e">
        <f>VLOOKUP(InfoFlowVisuals3[[#This Row],[Info Flow Id]],InfoFlow[[Info Flow Id]:[Source Application]],2,FALSE)</f>
        <v>#N/A</v>
      </c>
      <c r="K13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4" spans="1:11" x14ac:dyDescent="0.35">
      <c r="A14" s="6" t="s">
        <v>47</v>
      </c>
      <c r="B14" s="6">
        <f>VLOOKUP(InfoFlowVisuals1[[#This Row],[Info Flow Id]],InfoFlow[[Info Flow Id]:[Source Application]],2,FALSE)</f>
        <v>13</v>
      </c>
      <c r="C14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4" s="6" t="s">
        <v>113</v>
      </c>
      <c r="F14" s="6" t="e">
        <f>VLOOKUP(InfoFlowVisuals2[[#This Row],[Info Flow Id]],InfoFlow[[Info Flow Id]:[Source Application]],2,FALSE)</f>
        <v>#N/A</v>
      </c>
      <c r="G14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4" s="6" t="s">
        <v>114</v>
      </c>
      <c r="J14" s="6" t="e">
        <f>VLOOKUP(InfoFlowVisuals3[[#This Row],[Info Flow Id]],InfoFlow[[Info Flow Id]:[Source Application]],2,FALSE)</f>
        <v>#N/A</v>
      </c>
      <c r="K14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5" spans="1:11" x14ac:dyDescent="0.35">
      <c r="A15" s="6" t="s">
        <v>48</v>
      </c>
      <c r="B15" s="6">
        <f>VLOOKUP(InfoFlowVisuals1[[#This Row],[Info Flow Id]],InfoFlow[[Info Flow Id]:[Source Application]],2,FALSE)</f>
        <v>14</v>
      </c>
      <c r="C15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5" s="6" t="s">
        <v>115</v>
      </c>
      <c r="F15" s="6" t="e">
        <f>VLOOKUP(InfoFlowVisuals2[[#This Row],[Info Flow Id]],InfoFlow[[Info Flow Id]:[Source Application]],2,FALSE)</f>
        <v>#N/A</v>
      </c>
      <c r="G15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5" s="6" t="s">
        <v>116</v>
      </c>
      <c r="J15" s="6" t="e">
        <f>VLOOKUP(InfoFlowVisuals3[[#This Row],[Info Flow Id]],InfoFlow[[Info Flow Id]:[Source Application]],2,FALSE)</f>
        <v>#N/A</v>
      </c>
      <c r="K15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6" spans="1:11" x14ac:dyDescent="0.35">
      <c r="A16" s="6" t="s">
        <v>49</v>
      </c>
      <c r="B16" s="6">
        <f>VLOOKUP(InfoFlowVisuals1[[#This Row],[Info Flow Id]],InfoFlow[[Info Flow Id]:[Source Application]],2,FALSE)</f>
        <v>15</v>
      </c>
      <c r="C16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6" s="6" t="s">
        <v>117</v>
      </c>
      <c r="F16" s="6" t="e">
        <f>VLOOKUP(InfoFlowVisuals2[[#This Row],[Info Flow Id]],InfoFlow[[Info Flow Id]:[Source Application]],2,FALSE)</f>
        <v>#N/A</v>
      </c>
      <c r="G16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6" s="6" t="s">
        <v>118</v>
      </c>
      <c r="J16" s="6" t="e">
        <f>VLOOKUP(InfoFlowVisuals3[[#This Row],[Info Flow Id]],InfoFlow[[Info Flow Id]:[Source Application]],2,FALSE)</f>
        <v>#N/A</v>
      </c>
      <c r="K16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7" spans="1:11" x14ac:dyDescent="0.35">
      <c r="A17" s="6" t="s">
        <v>50</v>
      </c>
      <c r="B17" s="6">
        <f>VLOOKUP(InfoFlowVisuals1[[#This Row],[Info Flow Id]],InfoFlow[[Info Flow Id]:[Source Application]],2,FALSE)</f>
        <v>16</v>
      </c>
      <c r="C17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7" s="6" t="s">
        <v>119</v>
      </c>
      <c r="F17" s="6" t="e">
        <f>VLOOKUP(InfoFlowVisuals2[[#This Row],[Info Flow Id]],InfoFlow[[Info Flow Id]:[Source Application]],2,FALSE)</f>
        <v>#N/A</v>
      </c>
      <c r="G17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7" s="6" t="s">
        <v>120</v>
      </c>
      <c r="J17" s="6" t="e">
        <f>VLOOKUP(InfoFlowVisuals3[[#This Row],[Info Flow Id]],InfoFlow[[Info Flow Id]:[Source Application]],2,FALSE)</f>
        <v>#N/A</v>
      </c>
      <c r="K17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8" spans="1:11" x14ac:dyDescent="0.35">
      <c r="A18" s="6" t="s">
        <v>51</v>
      </c>
      <c r="B18" s="6">
        <f>VLOOKUP(InfoFlowVisuals1[[#This Row],[Info Flow Id]],InfoFlow[[Info Flow Id]:[Source Application]],2,FALSE)</f>
        <v>17</v>
      </c>
      <c r="C18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8" s="6" t="s">
        <v>121</v>
      </c>
      <c r="F18" s="6" t="e">
        <f>VLOOKUP(InfoFlowVisuals2[[#This Row],[Info Flow Id]],InfoFlow[[Info Flow Id]:[Source Application]],2,FALSE)</f>
        <v>#N/A</v>
      </c>
      <c r="G18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8" s="6" t="s">
        <v>122</v>
      </c>
      <c r="J18" s="6" t="e">
        <f>VLOOKUP(InfoFlowVisuals3[[#This Row],[Info Flow Id]],InfoFlow[[Info Flow Id]:[Source Application]],2,FALSE)</f>
        <v>#N/A</v>
      </c>
      <c r="K18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19" spans="1:11" x14ac:dyDescent="0.35">
      <c r="A19" s="6" t="s">
        <v>52</v>
      </c>
      <c r="B19" s="6">
        <f>VLOOKUP(InfoFlowVisuals1[[#This Row],[Info Flow Id]],InfoFlow[[Info Flow Id]:[Source Application]],2,FALSE)</f>
        <v>18</v>
      </c>
      <c r="C19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19" s="6" t="s">
        <v>123</v>
      </c>
      <c r="F19" s="6" t="e">
        <f>VLOOKUP(InfoFlowVisuals2[[#This Row],[Info Flow Id]],InfoFlow[[Info Flow Id]:[Source Application]],2,FALSE)</f>
        <v>#N/A</v>
      </c>
      <c r="G19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19" s="6" t="s">
        <v>124</v>
      </c>
      <c r="J19" s="6" t="e">
        <f>VLOOKUP(InfoFlowVisuals3[[#This Row],[Info Flow Id]],InfoFlow[[Info Flow Id]:[Source Application]],2,FALSE)</f>
        <v>#N/A</v>
      </c>
      <c r="K19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0" spans="1:11" x14ac:dyDescent="0.35">
      <c r="A20" s="6" t="s">
        <v>53</v>
      </c>
      <c r="B20" s="6">
        <f>VLOOKUP(InfoFlowVisuals1[[#This Row],[Info Flow Id]],InfoFlow[[Info Flow Id]:[Source Application]],2,FALSE)</f>
        <v>19</v>
      </c>
      <c r="C20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0" s="6" t="s">
        <v>125</v>
      </c>
      <c r="F20" s="6" t="e">
        <f>VLOOKUP(InfoFlowVisuals2[[#This Row],[Info Flow Id]],InfoFlow[[Info Flow Id]:[Source Application]],2,FALSE)</f>
        <v>#N/A</v>
      </c>
      <c r="G20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0" s="6" t="s">
        <v>126</v>
      </c>
      <c r="J20" s="6" t="e">
        <f>VLOOKUP(InfoFlowVisuals3[[#This Row],[Info Flow Id]],InfoFlow[[Info Flow Id]:[Source Application]],2,FALSE)</f>
        <v>#N/A</v>
      </c>
      <c r="K20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1" spans="1:11" x14ac:dyDescent="0.35">
      <c r="A21" s="6" t="s">
        <v>54</v>
      </c>
      <c r="B21" s="6">
        <f>VLOOKUP(InfoFlowVisuals1[[#This Row],[Info Flow Id]],InfoFlow[[Info Flow Id]:[Source Application]],2,FALSE)</f>
        <v>20</v>
      </c>
      <c r="C21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1" s="6" t="s">
        <v>127</v>
      </c>
      <c r="F21" s="6" t="e">
        <f>VLOOKUP(InfoFlowVisuals2[[#This Row],[Info Flow Id]],InfoFlow[[Info Flow Id]:[Source Application]],2,FALSE)</f>
        <v>#N/A</v>
      </c>
      <c r="G21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1" s="6" t="s">
        <v>128</v>
      </c>
      <c r="J21" s="6" t="e">
        <f>VLOOKUP(InfoFlowVisuals3[[#This Row],[Info Flow Id]],InfoFlow[[Info Flow Id]:[Source Application]],2,FALSE)</f>
        <v>#N/A</v>
      </c>
      <c r="K21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2" spans="1:11" x14ac:dyDescent="0.35">
      <c r="A22" s="6" t="s">
        <v>55</v>
      </c>
      <c r="B22" s="6">
        <f>VLOOKUP(InfoFlowVisuals1[[#This Row],[Info Flow Id]],InfoFlow[[Info Flow Id]:[Source Application]],2,FALSE)</f>
        <v>21</v>
      </c>
      <c r="C22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2" s="6" t="s">
        <v>129</v>
      </c>
      <c r="F22" s="6" t="e">
        <f>VLOOKUP(InfoFlowVisuals2[[#This Row],[Info Flow Id]],InfoFlow[[Info Flow Id]:[Source Application]],2,FALSE)</f>
        <v>#N/A</v>
      </c>
      <c r="G22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2" s="6" t="s">
        <v>130</v>
      </c>
      <c r="J22" s="6" t="e">
        <f>VLOOKUP(InfoFlowVisuals3[[#This Row],[Info Flow Id]],InfoFlow[[Info Flow Id]:[Source Application]],2,FALSE)</f>
        <v>#N/A</v>
      </c>
      <c r="K22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3" spans="1:11" x14ac:dyDescent="0.35">
      <c r="A23" s="6" t="s">
        <v>56</v>
      </c>
      <c r="B23" s="6">
        <f>VLOOKUP(InfoFlowVisuals1[[#This Row],[Info Flow Id]],InfoFlow[[Info Flow Id]:[Source Application]],2,FALSE)</f>
        <v>22</v>
      </c>
      <c r="C23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3" s="6" t="s">
        <v>131</v>
      </c>
      <c r="F23" s="6" t="e">
        <f>VLOOKUP(InfoFlowVisuals2[[#This Row],[Info Flow Id]],InfoFlow[[Info Flow Id]:[Source Application]],2,FALSE)</f>
        <v>#N/A</v>
      </c>
      <c r="G23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3" s="6" t="s">
        <v>132</v>
      </c>
      <c r="J23" s="6" t="e">
        <f>VLOOKUP(InfoFlowVisuals3[[#This Row],[Info Flow Id]],InfoFlow[[Info Flow Id]:[Source Application]],2,FALSE)</f>
        <v>#N/A</v>
      </c>
      <c r="K23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4" spans="1:11" x14ac:dyDescent="0.35">
      <c r="A24" s="6" t="s">
        <v>57</v>
      </c>
      <c r="B24" s="6">
        <f>VLOOKUP(InfoFlowVisuals1[[#This Row],[Info Flow Id]],InfoFlow[[Info Flow Id]:[Source Application]],2,FALSE)</f>
        <v>23</v>
      </c>
      <c r="C24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4" s="6" t="s">
        <v>133</v>
      </c>
      <c r="F24" s="6" t="e">
        <f>VLOOKUP(InfoFlowVisuals2[[#This Row],[Info Flow Id]],InfoFlow[[Info Flow Id]:[Source Application]],2,FALSE)</f>
        <v>#N/A</v>
      </c>
      <c r="G24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4" s="6" t="s">
        <v>134</v>
      </c>
      <c r="J24" s="6" t="e">
        <f>VLOOKUP(InfoFlowVisuals3[[#This Row],[Info Flow Id]],InfoFlow[[Info Flow Id]:[Source Application]],2,FALSE)</f>
        <v>#N/A</v>
      </c>
      <c r="K24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5" spans="1:11" x14ac:dyDescent="0.35">
      <c r="A25" s="6" t="s">
        <v>58</v>
      </c>
      <c r="B25" s="6">
        <f>VLOOKUP(InfoFlowVisuals1[[#This Row],[Info Flow Id]],InfoFlow[[Info Flow Id]:[Source Application]],2,FALSE)</f>
        <v>24</v>
      </c>
      <c r="C25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5" s="6" t="s">
        <v>135</v>
      </c>
      <c r="F25" s="6" t="e">
        <f>VLOOKUP(InfoFlowVisuals2[[#This Row],[Info Flow Id]],InfoFlow[[Info Flow Id]:[Source Application]],2,FALSE)</f>
        <v>#N/A</v>
      </c>
      <c r="G25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5" s="6" t="s">
        <v>136</v>
      </c>
      <c r="J25" s="6" t="e">
        <f>VLOOKUP(InfoFlowVisuals3[[#This Row],[Info Flow Id]],InfoFlow[[Info Flow Id]:[Source Application]],2,FALSE)</f>
        <v>#N/A</v>
      </c>
      <c r="K25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6" spans="1:11" x14ac:dyDescent="0.35">
      <c r="A26" s="6" t="s">
        <v>59</v>
      </c>
      <c r="B26" s="6">
        <f>VLOOKUP(InfoFlowVisuals1[[#This Row],[Info Flow Id]],InfoFlow[[Info Flow Id]:[Source Application]],2,FALSE)</f>
        <v>25</v>
      </c>
      <c r="C26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6" s="6" t="s">
        <v>137</v>
      </c>
      <c r="F26" s="6" t="e">
        <f>VLOOKUP(InfoFlowVisuals2[[#This Row],[Info Flow Id]],InfoFlow[[Info Flow Id]:[Source Application]],2,FALSE)</f>
        <v>#N/A</v>
      </c>
      <c r="G26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6" s="6" t="s">
        <v>138</v>
      </c>
      <c r="J26" s="6" t="e">
        <f>VLOOKUP(InfoFlowVisuals3[[#This Row],[Info Flow Id]],InfoFlow[[Info Flow Id]:[Source Application]],2,FALSE)</f>
        <v>#N/A</v>
      </c>
      <c r="K26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7" spans="1:11" x14ac:dyDescent="0.35">
      <c r="A27" s="6" t="s">
        <v>60</v>
      </c>
      <c r="B27" s="6">
        <f>VLOOKUP(InfoFlowVisuals1[[#This Row],[Info Flow Id]],InfoFlow[[Info Flow Id]:[Source Application]],2,FALSE)</f>
        <v>26</v>
      </c>
      <c r="C27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7" s="6" t="s">
        <v>139</v>
      </c>
      <c r="F27" s="6" t="e">
        <f>VLOOKUP(InfoFlowVisuals2[[#This Row],[Info Flow Id]],InfoFlow[[Info Flow Id]:[Source Application]],2,FALSE)</f>
        <v>#N/A</v>
      </c>
      <c r="G27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7" s="6" t="s">
        <v>140</v>
      </c>
      <c r="J27" s="6" t="e">
        <f>VLOOKUP(InfoFlowVisuals3[[#This Row],[Info Flow Id]],InfoFlow[[Info Flow Id]:[Source Application]],2,FALSE)</f>
        <v>#N/A</v>
      </c>
      <c r="K27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8" spans="1:11" x14ac:dyDescent="0.35">
      <c r="A28" s="6" t="s">
        <v>61</v>
      </c>
      <c r="B28" s="6">
        <f>VLOOKUP(InfoFlowVisuals1[[#This Row],[Info Flow Id]],InfoFlow[[Info Flow Id]:[Source Application]],2,FALSE)</f>
        <v>27</v>
      </c>
      <c r="C28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8" s="6" t="s">
        <v>141</v>
      </c>
      <c r="F28" s="6" t="e">
        <f>VLOOKUP(InfoFlowVisuals2[[#This Row],[Info Flow Id]],InfoFlow[[Info Flow Id]:[Source Application]],2,FALSE)</f>
        <v>#N/A</v>
      </c>
      <c r="G28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8" s="6" t="s">
        <v>142</v>
      </c>
      <c r="J28" s="6" t="e">
        <f>VLOOKUP(InfoFlowVisuals3[[#This Row],[Info Flow Id]],InfoFlow[[Info Flow Id]:[Source Application]],2,FALSE)</f>
        <v>#N/A</v>
      </c>
      <c r="K28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29" spans="1:11" x14ac:dyDescent="0.35">
      <c r="A29" s="6" t="s">
        <v>62</v>
      </c>
      <c r="B29" s="6">
        <f>VLOOKUP(InfoFlowVisuals1[[#This Row],[Info Flow Id]],InfoFlow[[Info Flow Id]:[Source Application]],2,FALSE)</f>
        <v>28</v>
      </c>
      <c r="C29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29" s="6" t="s">
        <v>143</v>
      </c>
      <c r="F29" s="6" t="e">
        <f>VLOOKUP(InfoFlowVisuals2[[#This Row],[Info Flow Id]],InfoFlow[[Info Flow Id]:[Source Application]],2,FALSE)</f>
        <v>#N/A</v>
      </c>
      <c r="G29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29" s="6" t="s">
        <v>144</v>
      </c>
      <c r="J29" s="6" t="e">
        <f>VLOOKUP(InfoFlowVisuals3[[#This Row],[Info Flow Id]],InfoFlow[[Info Flow Id]:[Source Application]],2,FALSE)</f>
        <v>#N/A</v>
      </c>
      <c r="K29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0" spans="1:11" x14ac:dyDescent="0.35">
      <c r="A30" s="6" t="s">
        <v>63</v>
      </c>
      <c r="B30" s="6">
        <f>VLOOKUP(InfoFlowVisuals1[[#This Row],[Info Flow Id]],InfoFlow[[Info Flow Id]:[Source Application]],2,FALSE)</f>
        <v>29</v>
      </c>
      <c r="C30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0" s="6" t="s">
        <v>145</v>
      </c>
      <c r="F30" s="6" t="e">
        <f>VLOOKUP(InfoFlowVisuals2[[#This Row],[Info Flow Id]],InfoFlow[[Info Flow Id]:[Source Application]],2,FALSE)</f>
        <v>#N/A</v>
      </c>
      <c r="G30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0" s="6" t="s">
        <v>146</v>
      </c>
      <c r="J30" s="6" t="e">
        <f>VLOOKUP(InfoFlowVisuals3[[#This Row],[Info Flow Id]],InfoFlow[[Info Flow Id]:[Source Application]],2,FALSE)</f>
        <v>#N/A</v>
      </c>
      <c r="K30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1" spans="1:11" x14ac:dyDescent="0.35">
      <c r="A31" s="6" t="s">
        <v>64</v>
      </c>
      <c r="B31" s="6">
        <f>VLOOKUP(InfoFlowVisuals1[[#This Row],[Info Flow Id]],InfoFlow[[Info Flow Id]:[Source Application]],2,FALSE)</f>
        <v>30</v>
      </c>
      <c r="C31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1" s="6" t="s">
        <v>147</v>
      </c>
      <c r="F31" s="6" t="e">
        <f>VLOOKUP(InfoFlowVisuals2[[#This Row],[Info Flow Id]],InfoFlow[[Info Flow Id]:[Source Application]],2,FALSE)</f>
        <v>#N/A</v>
      </c>
      <c r="G31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1" s="6" t="s">
        <v>148</v>
      </c>
      <c r="J31" s="6" t="e">
        <f>VLOOKUP(InfoFlowVisuals3[[#This Row],[Info Flow Id]],InfoFlow[[Info Flow Id]:[Source Application]],2,FALSE)</f>
        <v>#N/A</v>
      </c>
      <c r="K31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2" spans="1:11" x14ac:dyDescent="0.35">
      <c r="A32" s="6" t="s">
        <v>65</v>
      </c>
      <c r="B32" s="6">
        <f>VLOOKUP(InfoFlowVisuals1[[#This Row],[Info Flow Id]],InfoFlow[[Info Flow Id]:[Source Application]],2,FALSE)</f>
        <v>31</v>
      </c>
      <c r="C32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2" s="6" t="s">
        <v>149</v>
      </c>
      <c r="F32" s="6" t="e">
        <f>VLOOKUP(InfoFlowVisuals2[[#This Row],[Info Flow Id]],InfoFlow[[Info Flow Id]:[Source Application]],2,FALSE)</f>
        <v>#N/A</v>
      </c>
      <c r="G32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2" s="6" t="s">
        <v>150</v>
      </c>
      <c r="J32" s="6" t="e">
        <f>VLOOKUP(InfoFlowVisuals3[[#This Row],[Info Flow Id]],InfoFlow[[Info Flow Id]:[Source Application]],2,FALSE)</f>
        <v>#N/A</v>
      </c>
      <c r="K32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3" spans="1:11" x14ac:dyDescent="0.35">
      <c r="A33" s="6" t="s">
        <v>66</v>
      </c>
      <c r="B33" s="6">
        <f>VLOOKUP(InfoFlowVisuals1[[#This Row],[Info Flow Id]],InfoFlow[[Info Flow Id]:[Source Application]],2,FALSE)</f>
        <v>32</v>
      </c>
      <c r="C33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3" s="6" t="s">
        <v>151</v>
      </c>
      <c r="F33" s="6" t="e">
        <f>VLOOKUP(InfoFlowVisuals2[[#This Row],[Info Flow Id]],InfoFlow[[Info Flow Id]:[Source Application]],2,FALSE)</f>
        <v>#N/A</v>
      </c>
      <c r="G33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3" s="6" t="s">
        <v>152</v>
      </c>
      <c r="J33" s="6" t="e">
        <f>VLOOKUP(InfoFlowVisuals3[[#This Row],[Info Flow Id]],InfoFlow[[Info Flow Id]:[Source Application]],2,FALSE)</f>
        <v>#N/A</v>
      </c>
      <c r="K33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4" spans="1:11" x14ac:dyDescent="0.35">
      <c r="A34" s="6" t="s">
        <v>67</v>
      </c>
      <c r="B34" s="6">
        <f>VLOOKUP(InfoFlowVisuals1[[#This Row],[Info Flow Id]],InfoFlow[[Info Flow Id]:[Source Application]],2,FALSE)</f>
        <v>33</v>
      </c>
      <c r="C34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4" s="6" t="s">
        <v>153</v>
      </c>
      <c r="F34" s="6" t="e">
        <f>VLOOKUP(InfoFlowVisuals2[[#This Row],[Info Flow Id]],InfoFlow[[Info Flow Id]:[Source Application]],2,FALSE)</f>
        <v>#N/A</v>
      </c>
      <c r="G34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4" s="6" t="s">
        <v>154</v>
      </c>
      <c r="J34" s="6" t="e">
        <f>VLOOKUP(InfoFlowVisuals3[[#This Row],[Info Flow Id]],InfoFlow[[Info Flow Id]:[Source Application]],2,FALSE)</f>
        <v>#N/A</v>
      </c>
      <c r="K34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5" spans="1:11" x14ac:dyDescent="0.35">
      <c r="A35" s="6" t="s">
        <v>68</v>
      </c>
      <c r="B35" s="6">
        <f>VLOOKUP(InfoFlowVisuals1[[#This Row],[Info Flow Id]],InfoFlow[[Info Flow Id]:[Source Application]],2,FALSE)</f>
        <v>34</v>
      </c>
      <c r="C35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5" s="6" t="s">
        <v>155</v>
      </c>
      <c r="F35" s="6" t="e">
        <f>VLOOKUP(InfoFlowVisuals2[[#This Row],[Info Flow Id]],InfoFlow[[Info Flow Id]:[Source Application]],2,FALSE)</f>
        <v>#N/A</v>
      </c>
      <c r="G35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5" s="6" t="s">
        <v>156</v>
      </c>
      <c r="J35" s="6" t="e">
        <f>VLOOKUP(InfoFlowVisuals3[[#This Row],[Info Flow Id]],InfoFlow[[Info Flow Id]:[Source Application]],2,FALSE)</f>
        <v>#N/A</v>
      </c>
      <c r="K35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6" spans="1:11" x14ac:dyDescent="0.35">
      <c r="A36" s="6" t="s">
        <v>69</v>
      </c>
      <c r="B36" s="6">
        <f>VLOOKUP(InfoFlowVisuals1[[#This Row],[Info Flow Id]],InfoFlow[[Info Flow Id]:[Source Application]],2,FALSE)</f>
        <v>35</v>
      </c>
      <c r="C36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6" s="6" t="s">
        <v>157</v>
      </c>
      <c r="F36" s="6" t="e">
        <f>VLOOKUP(InfoFlowVisuals2[[#This Row],[Info Flow Id]],InfoFlow[[Info Flow Id]:[Source Application]],2,FALSE)</f>
        <v>#N/A</v>
      </c>
      <c r="G36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6" s="6" t="s">
        <v>158</v>
      </c>
      <c r="J36" s="6" t="e">
        <f>VLOOKUP(InfoFlowVisuals3[[#This Row],[Info Flow Id]],InfoFlow[[Info Flow Id]:[Source Application]],2,FALSE)</f>
        <v>#N/A</v>
      </c>
      <c r="K36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7" spans="1:11" x14ac:dyDescent="0.35">
      <c r="A37" s="6" t="s">
        <v>70</v>
      </c>
      <c r="B37" s="6">
        <f>VLOOKUP(InfoFlowVisuals1[[#This Row],[Info Flow Id]],InfoFlow[[Info Flow Id]:[Source Application]],2,FALSE)</f>
        <v>36</v>
      </c>
      <c r="C37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7" s="6" t="s">
        <v>159</v>
      </c>
      <c r="F37" s="6" t="e">
        <f>VLOOKUP(InfoFlowVisuals2[[#This Row],[Info Flow Id]],InfoFlow[[Info Flow Id]:[Source Application]],2,FALSE)</f>
        <v>#N/A</v>
      </c>
      <c r="G37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7" s="6" t="s">
        <v>160</v>
      </c>
      <c r="J37" s="6" t="e">
        <f>VLOOKUP(InfoFlowVisuals3[[#This Row],[Info Flow Id]],InfoFlow[[Info Flow Id]:[Source Application]],2,FALSE)</f>
        <v>#N/A</v>
      </c>
      <c r="K37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8" spans="1:11" x14ac:dyDescent="0.35">
      <c r="A38" s="6" t="s">
        <v>71</v>
      </c>
      <c r="B38" s="6">
        <f>VLOOKUP(InfoFlowVisuals1[[#This Row],[Info Flow Id]],InfoFlow[[Info Flow Id]:[Source Application]],2,FALSE)</f>
        <v>37</v>
      </c>
      <c r="C38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8" s="6" t="s">
        <v>161</v>
      </c>
      <c r="F38" s="6" t="e">
        <f>VLOOKUP(InfoFlowVisuals2[[#This Row],[Info Flow Id]],InfoFlow[[Info Flow Id]:[Source Application]],2,FALSE)</f>
        <v>#N/A</v>
      </c>
      <c r="G38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8" s="6" t="s">
        <v>162</v>
      </c>
      <c r="J38" s="6" t="e">
        <f>VLOOKUP(InfoFlowVisuals3[[#This Row],[Info Flow Id]],InfoFlow[[Info Flow Id]:[Source Application]],2,FALSE)</f>
        <v>#N/A</v>
      </c>
      <c r="K38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39" spans="1:11" x14ac:dyDescent="0.35">
      <c r="A39" s="6" t="s">
        <v>72</v>
      </c>
      <c r="B39" s="6">
        <f>VLOOKUP(InfoFlowVisuals1[[#This Row],[Info Flow Id]],InfoFlow[[Info Flow Id]:[Source Application]],2,FALSE)</f>
        <v>38</v>
      </c>
      <c r="C39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39" s="6" t="s">
        <v>163</v>
      </c>
      <c r="F39" s="6" t="e">
        <f>VLOOKUP(InfoFlowVisuals2[[#This Row],[Info Flow Id]],InfoFlow[[Info Flow Id]:[Source Application]],2,FALSE)</f>
        <v>#N/A</v>
      </c>
      <c r="G39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39" s="6" t="s">
        <v>164</v>
      </c>
      <c r="J39" s="6" t="e">
        <f>VLOOKUP(InfoFlowVisuals3[[#This Row],[Info Flow Id]],InfoFlow[[Info Flow Id]:[Source Application]],2,FALSE)</f>
        <v>#N/A</v>
      </c>
      <c r="K39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40" spans="1:11" x14ac:dyDescent="0.35">
      <c r="A40" s="6" t="s">
        <v>73</v>
      </c>
      <c r="B40" s="6">
        <f>VLOOKUP(InfoFlowVisuals1[[#This Row],[Info Flow Id]],InfoFlow[[Info Flow Id]:[Source Application]],2,FALSE)</f>
        <v>39</v>
      </c>
      <c r="C40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40" s="6" t="s">
        <v>165</v>
      </c>
      <c r="F40" s="6" t="e">
        <f>VLOOKUP(InfoFlowVisuals2[[#This Row],[Info Flow Id]],InfoFlow[[Info Flow Id]:[Source Application]],2,FALSE)</f>
        <v>#N/A</v>
      </c>
      <c r="G40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40" s="6" t="s">
        <v>166</v>
      </c>
      <c r="J40" s="6" t="e">
        <f>VLOOKUP(InfoFlowVisuals3[[#This Row],[Info Flow Id]],InfoFlow[[Info Flow Id]:[Source Application]],2,FALSE)</f>
        <v>#N/A</v>
      </c>
      <c r="K40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  <row r="41" spans="1:11" x14ac:dyDescent="0.35">
      <c r="A41" s="6" t="s">
        <v>74</v>
      </c>
      <c r="B41" s="6">
        <f>VLOOKUP(InfoFlowVisuals1[[#This Row],[Info Flow Id]],InfoFlow[[Info Flow Id]:[Source Application]],2,FALSE)</f>
        <v>40</v>
      </c>
      <c r="C41" s="6" t="e">
        <f>VLOOKUP(InfoFlowVisuals1[[#This Row],[Info Flow Id]],InfoFlow[[Info Flow Id]:[Source Application]],3,FALSE) &amp; VLOOKUP(VLOOKUP(InfoFlowVisuals1[[#This Row],[Info Flow Id]],InfoFlow[[Info Flow Id]:[Initiator]],15,FALSE), Initiator[], 2, FALSE) &amp; VLOOKUP(InfoFlowVisuals1[[#This Row],[Info Flow Id]],InfoFlow[[Info Flow Id]:[Destination Application]],4,FALSE)</f>
        <v>#N/A</v>
      </c>
      <c r="E41" s="6" t="s">
        <v>167</v>
      </c>
      <c r="F41" s="6" t="e">
        <f>VLOOKUP(InfoFlowVisuals2[[#This Row],[Info Flow Id]],InfoFlow[[Info Flow Id]:[Source Application]],2,FALSE)</f>
        <v>#N/A</v>
      </c>
      <c r="G41" s="6" t="e">
        <f>VLOOKUP(InfoFlowVisuals2[[#This Row],[Info Flow Id]],InfoFlow[[Info Flow Id]:[Source Application]],3,FALSE) &amp; VLOOKUP(VLOOKUP(InfoFlowVisuals2[[#This Row],[Info Flow Id]],InfoFlow[[Info Flow Id]:[Initiator]],15,FALSE), Initiator[], 2, FALSE) &amp; VLOOKUP(InfoFlowVisuals2[[#This Row],[Info Flow Id]],InfoFlow[[Info Flow Id]:[Destination Application]],4,FALSE)</f>
        <v>#N/A</v>
      </c>
      <c r="I41" s="6" t="s">
        <v>168</v>
      </c>
      <c r="J41" s="6" t="e">
        <f>VLOOKUP(InfoFlowVisuals3[[#This Row],[Info Flow Id]],InfoFlow[[Info Flow Id]:[Source Application]],2,FALSE)</f>
        <v>#N/A</v>
      </c>
      <c r="K41" s="6" t="e">
        <f>VLOOKUP(InfoFlowVisuals3[[#This Row],[Info Flow Id]],InfoFlow[[Info Flow Id]:[Source Application]],3,FALSE) &amp; VLOOKUP(VLOOKUP(InfoFlowVisuals3[[#This Row],[Info Flow Id]],InfoFlow[[Info Flow Id]:[Initiator]],15,FALSE), Initiator[], 2, FALSE) &amp; VLOOKUP(InfoFlowVisuals3[[#This Row],[Info Flow Id]],InfoFlow[[Info Flow Id]:[Destination Application]],4,FALSE)</f>
        <v>#N/A</v>
      </c>
    </row>
  </sheetData>
  <pageMargins left="0.25" right="0.25" top="0.75" bottom="0.75" header="0.3" footer="0.3"/>
  <pageSetup orientation="landscape" r:id="rId1"/>
  <headerFooter>
    <oddHeader>&amp;L&amp;"EMprint Regular,Regular"&amp;16&amp;K3A397BTitle&amp;R&amp;G</oddHeader>
  </headerFooter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N11"/>
  <sheetViews>
    <sheetView showGridLines="0" zoomScale="88" zoomScaleNormal="88" workbookViewId="0">
      <pane xSplit="1" ySplit="1" topLeftCell="B2" activePane="bottomRight" state="frozenSplit"/>
      <selection pane="topRight" activeCell="B1" sqref="B1"/>
      <selection pane="bottomLeft" activeCell="A2" sqref="A2"/>
      <selection pane="bottomRight" activeCell="A57" sqref="A57"/>
    </sheetView>
  </sheetViews>
  <sheetFormatPr defaultColWidth="11.25" defaultRowHeight="15.5" x14ac:dyDescent="0.35"/>
  <cols>
    <col min="1" max="1" width="13.08203125" style="4" bestFit="1" customWidth="1"/>
    <col min="2" max="2" width="11.25" style="4" bestFit="1" customWidth="1"/>
    <col min="3" max="3" width="42" style="4" customWidth="1"/>
    <col min="4" max="4" width="46.75" style="4" customWidth="1"/>
    <col min="5" max="5" width="30.75" style="4" customWidth="1"/>
    <col min="6" max="6" width="55.25" style="4" customWidth="1"/>
    <col min="7" max="8" width="11.25" style="4"/>
    <col min="9" max="9" width="14.25" style="4" customWidth="1"/>
    <col min="10" max="10" width="16.25" style="4" customWidth="1"/>
    <col min="11" max="11" width="11.25" style="4"/>
    <col min="12" max="12" width="15.75" style="4" bestFit="1" customWidth="1"/>
    <col min="13" max="13" width="25.75" style="4" customWidth="1"/>
    <col min="14" max="14" width="17.08203125" style="4" customWidth="1"/>
    <col min="15" max="16384" width="11.25" style="4"/>
  </cols>
  <sheetData>
    <row r="1" spans="1:14" x14ac:dyDescent="0.35">
      <c r="A1" s="4" t="s">
        <v>11</v>
      </c>
      <c r="B1" s="4" t="s">
        <v>12</v>
      </c>
      <c r="C1" s="4" t="s">
        <v>13</v>
      </c>
      <c r="D1" s="4" t="s">
        <v>14</v>
      </c>
      <c r="E1" s="4" t="s">
        <v>169</v>
      </c>
      <c r="F1" s="4" t="s">
        <v>170</v>
      </c>
      <c r="G1" s="4" t="s">
        <v>21</v>
      </c>
      <c r="H1" s="4" t="s">
        <v>22</v>
      </c>
      <c r="I1" s="4" t="s">
        <v>23</v>
      </c>
      <c r="J1" s="4" t="s">
        <v>24</v>
      </c>
      <c r="K1" s="4" t="s">
        <v>26</v>
      </c>
      <c r="L1" s="4" t="s">
        <v>27</v>
      </c>
      <c r="M1" s="4" t="s">
        <v>28</v>
      </c>
      <c r="N1" s="4" t="s">
        <v>29</v>
      </c>
    </row>
    <row r="2" spans="1:14" x14ac:dyDescent="0.35">
      <c r="A2" s="4" t="str">
        <f>IFERROR(InfoFlow[[#This Row],[Info Flow Id]],"")</f>
        <v>IF001</v>
      </c>
      <c r="B2" s="4">
        <f>IFERROR(InfoFlow[[#This Row],[Displayed Id]],"")</f>
        <v>1</v>
      </c>
      <c r="C2" s="4" t="str">
        <f>IFERROR(InfoFlow[[#This Row],[Source Application]],"")</f>
        <v>Logical app component name 1</v>
      </c>
      <c r="D2" s="4" t="str">
        <f>IFERROR(InfoFlow[[#This Row],[Destination Application]],"")</f>
        <v>Logical app component name 2</v>
      </c>
      <c r="E2" s="4" t="str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Event Driven/API/XML</v>
      </c>
      <c r="F2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>(In) Data Entity 1, Data Entity 2  (Out) Data Entity 5</v>
      </c>
      <c r="G2" s="4" t="str">
        <f>INDEX(InfoFlow[Initiator],MATCH(DataExport[[#This Row],[Info Flow Id]],InfoFlow[Info Flow Id],0))</f>
        <v>Source</v>
      </c>
      <c r="H2" s="4" t="str">
        <f>INDEX(InfoFlow[Exchange],MATCH(DataExport[[#This Row],[Info Flow Id]],InfoFlow[Info Flow Id],0))</f>
        <v>1-Way</v>
      </c>
      <c r="I2" s="4" t="str">
        <f>INDEX(InfoFlow[Type],MATCH(DataExport[[#This Row],[Info Flow Id]],InfoFlow[Info Flow Id],0))</f>
        <v>Event Driven</v>
      </c>
      <c r="J2" s="4" t="str">
        <f>INDEX(InfoFlow[Protocol Name],MATCH(DataExport[[#This Row],[Info Flow Id]],InfoFlow[Info Flow Id],0))</f>
        <v>App-API</v>
      </c>
      <c r="K2" s="4" t="str">
        <f>INDEX(InfoFlow[Format],MATCH(DataExport[[#This Row],[Info Flow Id]],InfoFlow[Info Flow Id],0))</f>
        <v>XML</v>
      </c>
      <c r="L2" s="4" t="str">
        <f>INDEX(InfoFlow[Status],MATCH(DataExport[[#This Row],[Info Flow Id]],InfoFlow[Info Flow Id],0))</f>
        <v>Planned</v>
      </c>
      <c r="M2" s="4" t="str">
        <f>INDEX(InfoFlow[Description],MATCH(DataExport[[#This Row],[Info Flow Id]],InfoFlow[Info Flow Id],0))</f>
        <v>Enter description here</v>
      </c>
      <c r="N2" s="4" t="str">
        <f>INDEX(InfoFlow[Location],MATCH(DataExport[[#This Row],[Info Flow Id]],InfoFlow[Info Flow Id],0))</f>
        <v>Location 1</v>
      </c>
    </row>
    <row r="3" spans="1:14" x14ac:dyDescent="0.35">
      <c r="A3" s="4" t="str">
        <f>IFERROR(InfoFlow[[#This Row],[Info Flow Id]],"")</f>
        <v>IF002</v>
      </c>
      <c r="B3" s="4">
        <f>IFERROR(InfoFlow[[#This Row],[Displayed Id]],"")</f>
        <v>2</v>
      </c>
      <c r="C3" s="4" t="str">
        <f>IFERROR(InfoFlow[[#This Row],[Source Application]],"")</f>
        <v>Logical technology component 1</v>
      </c>
      <c r="D3" s="4" t="str">
        <f>IFERROR(InfoFlow[[#This Row],[Destination Application]],"")</f>
        <v>Logical technology component 2</v>
      </c>
      <c r="E3" s="4" t="str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Batch/SOAP/JSON</v>
      </c>
      <c r="F3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>(In) Data Entity 3, Data Entity 4  (Out) Data Entity 6</v>
      </c>
      <c r="G3" s="4" t="str">
        <f>INDEX(InfoFlow[Initiator],MATCH(DataExport[[#This Row],[Info Flow Id]],InfoFlow[Info Flow Id],0))</f>
        <v>Destination</v>
      </c>
      <c r="H3" s="4" t="str">
        <f>INDEX(InfoFlow[Exchange],MATCH(DataExport[[#This Row],[Info Flow Id]],InfoFlow[Info Flow Id],0))</f>
        <v>1-Way</v>
      </c>
      <c r="I3" s="4" t="str">
        <f>INDEX(InfoFlow[Type],MATCH(DataExport[[#This Row],[Info Flow Id]],InfoFlow[Info Flow Id],0))</f>
        <v>Batch</v>
      </c>
      <c r="J3" s="4" t="str">
        <f>INDEX(InfoFlow[Protocol Name],MATCH(DataExport[[#This Row],[Info Flow Id]],InfoFlow[Info Flow Id],0))</f>
        <v>App-SOAP</v>
      </c>
      <c r="K3" s="4" t="str">
        <f>INDEX(InfoFlow[Format],MATCH(DataExport[[#This Row],[Info Flow Id]],InfoFlow[Info Flow Id],0))</f>
        <v>JSON</v>
      </c>
      <c r="L3" s="4" t="str">
        <f>INDEX(InfoFlow[Status],MATCH(DataExport[[#This Row],[Info Flow Id]],InfoFlow[Info Flow Id],0))</f>
        <v>Operational</v>
      </c>
      <c r="M3" s="4" t="str">
        <f>INDEX(InfoFlow[Description],MATCH(DataExport[[#This Row],[Info Flow Id]],InfoFlow[Info Flow Id],0))</f>
        <v>Enter description here</v>
      </c>
      <c r="N3" s="4" t="str">
        <f>INDEX(InfoFlow[Location],MATCH(DataExport[[#This Row],[Info Flow Id]],InfoFlow[Info Flow Id],0))</f>
        <v>Location 2</v>
      </c>
    </row>
    <row r="4" spans="1:14" x14ac:dyDescent="0.35">
      <c r="A4" s="4" t="str">
        <f>IFERROR(InfoFlow[[#This Row],[Info Flow Id]],"")</f>
        <v>IF003</v>
      </c>
      <c r="B4" s="4">
        <f>IFERROR(InfoFlow[[#This Row],[Displayed Id]],"")</f>
        <v>3</v>
      </c>
      <c r="C4" s="4">
        <f>IFERROR(InfoFlow[[#This Row],[Source Application]],"")</f>
        <v>0</v>
      </c>
      <c r="D4" s="4">
        <f>IFERROR(InfoFlow[[#This Row],[Destination Application]],"")</f>
        <v>0</v>
      </c>
      <c r="E4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4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4" s="4">
        <f>INDEX(InfoFlow[Initiator],MATCH(DataExport[[#This Row],[Info Flow Id]],InfoFlow[Info Flow Id],0))</f>
        <v>0</v>
      </c>
      <c r="H4" s="4">
        <f>INDEX(InfoFlow[Exchange],MATCH(DataExport[[#This Row],[Info Flow Id]],InfoFlow[Info Flow Id],0))</f>
        <v>0</v>
      </c>
      <c r="I4" s="4">
        <f>INDEX(InfoFlow[Type],MATCH(DataExport[[#This Row],[Info Flow Id]],InfoFlow[Info Flow Id],0))</f>
        <v>0</v>
      </c>
      <c r="J4" s="4">
        <f>INDEX(InfoFlow[Protocol Name],MATCH(DataExport[[#This Row],[Info Flow Id]],InfoFlow[Info Flow Id],0))</f>
        <v>0</v>
      </c>
      <c r="K4" s="4">
        <f>INDEX(InfoFlow[Format],MATCH(DataExport[[#This Row],[Info Flow Id]],InfoFlow[Info Flow Id],0))</f>
        <v>0</v>
      </c>
      <c r="L4" s="4">
        <f>INDEX(InfoFlow[Status],MATCH(DataExport[[#This Row],[Info Flow Id]],InfoFlow[Info Flow Id],0))</f>
        <v>0</v>
      </c>
      <c r="M4" s="4">
        <f>INDEX(InfoFlow[Description],MATCH(DataExport[[#This Row],[Info Flow Id]],InfoFlow[Info Flow Id],0))</f>
        <v>0</v>
      </c>
      <c r="N4" s="4">
        <f>INDEX(InfoFlow[Location],MATCH(DataExport[[#This Row],[Info Flow Id]],InfoFlow[Info Flow Id],0))</f>
        <v>0</v>
      </c>
    </row>
    <row r="5" spans="1:14" x14ac:dyDescent="0.35">
      <c r="A5" s="4" t="str">
        <f>IFERROR(InfoFlow[[#This Row],[Info Flow Id]],"")</f>
        <v>IF004</v>
      </c>
      <c r="B5" s="4">
        <f>IFERROR(InfoFlow[[#This Row],[Displayed Id]],"")</f>
        <v>4</v>
      </c>
      <c r="C5" s="4">
        <f>IFERROR(InfoFlow[[#This Row],[Source Application]],"")</f>
        <v>0</v>
      </c>
      <c r="D5" s="4">
        <f>IFERROR(InfoFlow[[#This Row],[Destination Application]],"")</f>
        <v>0</v>
      </c>
      <c r="E5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5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5" s="4">
        <f>INDEX(InfoFlow[Initiator],MATCH(DataExport[[#This Row],[Info Flow Id]],InfoFlow[Info Flow Id],0))</f>
        <v>0</v>
      </c>
      <c r="H5" s="4">
        <f>INDEX(InfoFlow[Exchange],MATCH(DataExport[[#This Row],[Info Flow Id]],InfoFlow[Info Flow Id],0))</f>
        <v>0</v>
      </c>
      <c r="I5" s="4">
        <f>INDEX(InfoFlow[Type],MATCH(DataExport[[#This Row],[Info Flow Id]],InfoFlow[Info Flow Id],0))</f>
        <v>0</v>
      </c>
      <c r="J5" s="4">
        <f>INDEX(InfoFlow[Protocol Name],MATCH(DataExport[[#This Row],[Info Flow Id]],InfoFlow[Info Flow Id],0))</f>
        <v>0</v>
      </c>
      <c r="K5" s="4">
        <f>INDEX(InfoFlow[Format],MATCH(DataExport[[#This Row],[Info Flow Id]],InfoFlow[Info Flow Id],0))</f>
        <v>0</v>
      </c>
      <c r="L5" s="4">
        <f>INDEX(InfoFlow[Status],MATCH(DataExport[[#This Row],[Info Flow Id]],InfoFlow[Info Flow Id],0))</f>
        <v>0</v>
      </c>
      <c r="M5" s="4">
        <f>INDEX(InfoFlow[Description],MATCH(DataExport[[#This Row],[Info Flow Id]],InfoFlow[Info Flow Id],0))</f>
        <v>0</v>
      </c>
      <c r="N5" s="4">
        <f>INDEX(InfoFlow[Location],MATCH(DataExport[[#This Row],[Info Flow Id]],InfoFlow[Info Flow Id],0))</f>
        <v>0</v>
      </c>
    </row>
    <row r="6" spans="1:14" x14ac:dyDescent="0.35">
      <c r="A6" s="4" t="str">
        <f>IFERROR(InfoFlow[[#This Row],[Info Flow Id]],"")</f>
        <v>IF005</v>
      </c>
      <c r="B6" s="4">
        <f>IFERROR(InfoFlow[[#This Row],[Displayed Id]],"")</f>
        <v>5</v>
      </c>
      <c r="C6" s="4">
        <f>IFERROR(InfoFlow[[#This Row],[Source Application]],"")</f>
        <v>0</v>
      </c>
      <c r="D6" s="4">
        <f>IFERROR(InfoFlow[[#This Row],[Destination Application]],"")</f>
        <v>0</v>
      </c>
      <c r="E6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6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6" s="4">
        <f>INDEX(InfoFlow[Initiator],MATCH(DataExport[[#This Row],[Info Flow Id]],InfoFlow[Info Flow Id],0))</f>
        <v>0</v>
      </c>
      <c r="H6" s="4">
        <f>INDEX(InfoFlow[Exchange],MATCH(DataExport[[#This Row],[Info Flow Id]],InfoFlow[Info Flow Id],0))</f>
        <v>0</v>
      </c>
      <c r="I6" s="4">
        <f>INDEX(InfoFlow[Type],MATCH(DataExport[[#This Row],[Info Flow Id]],InfoFlow[Info Flow Id],0))</f>
        <v>0</v>
      </c>
      <c r="J6" s="4">
        <f>INDEX(InfoFlow[Protocol Name],MATCH(DataExport[[#This Row],[Info Flow Id]],InfoFlow[Info Flow Id],0))</f>
        <v>0</v>
      </c>
      <c r="K6" s="4">
        <f>INDEX(InfoFlow[Format],MATCH(DataExport[[#This Row],[Info Flow Id]],InfoFlow[Info Flow Id],0))</f>
        <v>0</v>
      </c>
      <c r="L6" s="4">
        <f>INDEX(InfoFlow[Status],MATCH(DataExport[[#This Row],[Info Flow Id]],InfoFlow[Info Flow Id],0))</f>
        <v>0</v>
      </c>
      <c r="M6" s="4">
        <f>INDEX(InfoFlow[Description],MATCH(DataExport[[#This Row],[Info Flow Id]],InfoFlow[Info Flow Id],0))</f>
        <v>0</v>
      </c>
      <c r="N6" s="4">
        <f>INDEX(InfoFlow[Location],MATCH(DataExport[[#This Row],[Info Flow Id]],InfoFlow[Info Flow Id],0))</f>
        <v>0</v>
      </c>
    </row>
    <row r="7" spans="1:14" x14ac:dyDescent="0.35">
      <c r="A7" s="4" t="str">
        <f>IFERROR(InfoFlow[[#This Row],[Info Flow Id]],"")</f>
        <v>IF006</v>
      </c>
      <c r="B7" s="4">
        <f>IFERROR(InfoFlow[[#This Row],[Displayed Id]],"")</f>
        <v>6</v>
      </c>
      <c r="C7" s="4">
        <f>IFERROR(InfoFlow[[#This Row],[Source Application]],"")</f>
        <v>0</v>
      </c>
      <c r="D7" s="4">
        <f>IFERROR(InfoFlow[[#This Row],[Destination Application]],"")</f>
        <v>0</v>
      </c>
      <c r="E7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7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7" s="4">
        <f>INDEX(InfoFlow[Initiator],MATCH(DataExport[[#This Row],[Info Flow Id]],InfoFlow[Info Flow Id],0))</f>
        <v>0</v>
      </c>
      <c r="H7" s="4">
        <f>INDEX(InfoFlow[Exchange],MATCH(DataExport[[#This Row],[Info Flow Id]],InfoFlow[Info Flow Id],0))</f>
        <v>0</v>
      </c>
      <c r="I7" s="4">
        <f>INDEX(InfoFlow[Type],MATCH(DataExport[[#This Row],[Info Flow Id]],InfoFlow[Info Flow Id],0))</f>
        <v>0</v>
      </c>
      <c r="J7" s="4">
        <f>INDEX(InfoFlow[Protocol Name],MATCH(DataExport[[#This Row],[Info Flow Id]],InfoFlow[Info Flow Id],0))</f>
        <v>0</v>
      </c>
      <c r="K7" s="4">
        <f>INDEX(InfoFlow[Format],MATCH(DataExport[[#This Row],[Info Flow Id]],InfoFlow[Info Flow Id],0))</f>
        <v>0</v>
      </c>
      <c r="L7" s="4">
        <f>INDEX(InfoFlow[Status],MATCH(DataExport[[#This Row],[Info Flow Id]],InfoFlow[Info Flow Id],0))</f>
        <v>0</v>
      </c>
      <c r="M7" s="4">
        <f>INDEX(InfoFlow[Description],MATCH(DataExport[[#This Row],[Info Flow Id]],InfoFlow[Info Flow Id],0))</f>
        <v>0</v>
      </c>
      <c r="N7" s="4">
        <f>INDEX(InfoFlow[Location],MATCH(DataExport[[#This Row],[Info Flow Id]],InfoFlow[Info Flow Id],0))</f>
        <v>0</v>
      </c>
    </row>
    <row r="8" spans="1:14" x14ac:dyDescent="0.35">
      <c r="A8" s="4" t="str">
        <f>IFERROR(InfoFlow[[#This Row],[Info Flow Id]],"")</f>
        <v>IF007</v>
      </c>
      <c r="B8" s="4">
        <f>IFERROR(InfoFlow[[#This Row],[Displayed Id]],"")</f>
        <v>7</v>
      </c>
      <c r="C8" s="4">
        <f>IFERROR(InfoFlow[[#This Row],[Source Application]],"")</f>
        <v>0</v>
      </c>
      <c r="D8" s="4">
        <f>IFERROR(InfoFlow[[#This Row],[Destination Application]],"")</f>
        <v>0</v>
      </c>
      <c r="E8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8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8" s="4">
        <f>INDEX(InfoFlow[Initiator],MATCH(DataExport[[#This Row],[Info Flow Id]],InfoFlow[Info Flow Id],0))</f>
        <v>0</v>
      </c>
      <c r="H8" s="4">
        <f>INDEX(InfoFlow[Exchange],MATCH(DataExport[[#This Row],[Info Flow Id]],InfoFlow[Info Flow Id],0))</f>
        <v>0</v>
      </c>
      <c r="I8" s="4">
        <f>INDEX(InfoFlow[Type],MATCH(DataExport[[#This Row],[Info Flow Id]],InfoFlow[Info Flow Id],0))</f>
        <v>0</v>
      </c>
      <c r="J8" s="4">
        <f>INDEX(InfoFlow[Protocol Name],MATCH(DataExport[[#This Row],[Info Flow Id]],InfoFlow[Info Flow Id],0))</f>
        <v>0</v>
      </c>
      <c r="K8" s="4">
        <f>INDEX(InfoFlow[Format],MATCH(DataExport[[#This Row],[Info Flow Id]],InfoFlow[Info Flow Id],0))</f>
        <v>0</v>
      </c>
      <c r="L8" s="4">
        <f>INDEX(InfoFlow[Status],MATCH(DataExport[[#This Row],[Info Flow Id]],InfoFlow[Info Flow Id],0))</f>
        <v>0</v>
      </c>
      <c r="M8" s="4">
        <f>INDEX(InfoFlow[Description],MATCH(DataExport[[#This Row],[Info Flow Id]],InfoFlow[Info Flow Id],0))</f>
        <v>0</v>
      </c>
      <c r="N8" s="4">
        <f>INDEX(InfoFlow[Location],MATCH(DataExport[[#This Row],[Info Flow Id]],InfoFlow[Info Flow Id],0))</f>
        <v>0</v>
      </c>
    </row>
    <row r="9" spans="1:14" x14ac:dyDescent="0.35">
      <c r="A9" s="4" t="str">
        <f>IFERROR(InfoFlow[[#This Row],[Info Flow Id]],"")</f>
        <v>IF008</v>
      </c>
      <c r="B9" s="4">
        <f>IFERROR(InfoFlow[[#This Row],[Displayed Id]],"")</f>
        <v>8</v>
      </c>
      <c r="C9" s="4">
        <f>IFERROR(InfoFlow[[#This Row],[Source Application]],"")</f>
        <v>0</v>
      </c>
      <c r="D9" s="4">
        <f>IFERROR(InfoFlow[[#This Row],[Destination Application]],"")</f>
        <v>0</v>
      </c>
      <c r="E9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9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9" s="4">
        <f>INDEX(InfoFlow[Initiator],MATCH(DataExport[[#This Row],[Info Flow Id]],InfoFlow[Info Flow Id],0))</f>
        <v>0</v>
      </c>
      <c r="H9" s="4">
        <f>INDEX(InfoFlow[Exchange],MATCH(DataExport[[#This Row],[Info Flow Id]],InfoFlow[Info Flow Id],0))</f>
        <v>0</v>
      </c>
      <c r="I9" s="4">
        <f>INDEX(InfoFlow[Type],MATCH(DataExport[[#This Row],[Info Flow Id]],InfoFlow[Info Flow Id],0))</f>
        <v>0</v>
      </c>
      <c r="J9" s="4">
        <f>INDEX(InfoFlow[Protocol Name],MATCH(DataExport[[#This Row],[Info Flow Id]],InfoFlow[Info Flow Id],0))</f>
        <v>0</v>
      </c>
      <c r="K9" s="4">
        <f>INDEX(InfoFlow[Format],MATCH(DataExport[[#This Row],[Info Flow Id]],InfoFlow[Info Flow Id],0))</f>
        <v>0</v>
      </c>
      <c r="L9" s="4">
        <f>INDEX(InfoFlow[Status],MATCH(DataExport[[#This Row],[Info Flow Id]],InfoFlow[Info Flow Id],0))</f>
        <v>0</v>
      </c>
      <c r="M9" s="4">
        <f>INDEX(InfoFlow[Description],MATCH(DataExport[[#This Row],[Info Flow Id]],InfoFlow[Info Flow Id],0))</f>
        <v>0</v>
      </c>
      <c r="N9" s="4">
        <f>INDEX(InfoFlow[Location],MATCH(DataExport[[#This Row],[Info Flow Id]],InfoFlow[Info Flow Id],0))</f>
        <v>0</v>
      </c>
    </row>
    <row r="10" spans="1:14" x14ac:dyDescent="0.35">
      <c r="A10" s="4" t="str">
        <f>IFERROR(InfoFlow[[#This Row],[Info Flow Id]],"")</f>
        <v>IF009</v>
      </c>
      <c r="B10" s="4">
        <f>IFERROR(InfoFlow[[#This Row],[Displayed Id]],"")</f>
        <v>9</v>
      </c>
      <c r="C10" s="4">
        <f>IFERROR(InfoFlow[[#This Row],[Source Application]],"")</f>
        <v>0</v>
      </c>
      <c r="D10" s="4">
        <f>IFERROR(InfoFlow[[#This Row],[Destination Application]],"")</f>
        <v>0</v>
      </c>
      <c r="E10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10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10" s="4">
        <f>INDEX(InfoFlow[Initiator],MATCH(DataExport[[#This Row],[Info Flow Id]],InfoFlow[Info Flow Id],0))</f>
        <v>0</v>
      </c>
      <c r="H10" s="4">
        <f>INDEX(InfoFlow[Exchange],MATCH(DataExport[[#This Row],[Info Flow Id]],InfoFlow[Info Flow Id],0))</f>
        <v>0</v>
      </c>
      <c r="I10" s="4">
        <f>INDEX(InfoFlow[Type],MATCH(DataExport[[#This Row],[Info Flow Id]],InfoFlow[Info Flow Id],0))</f>
        <v>0</v>
      </c>
      <c r="J10" s="4">
        <f>INDEX(InfoFlow[Protocol Name],MATCH(DataExport[[#This Row],[Info Flow Id]],InfoFlow[Info Flow Id],0))</f>
        <v>0</v>
      </c>
      <c r="K10" s="4">
        <f>INDEX(InfoFlow[Format],MATCH(DataExport[[#This Row],[Info Flow Id]],InfoFlow[Info Flow Id],0))</f>
        <v>0</v>
      </c>
      <c r="L10" s="4">
        <f>INDEX(InfoFlow[Status],MATCH(DataExport[[#This Row],[Info Flow Id]],InfoFlow[Info Flow Id],0))</f>
        <v>0</v>
      </c>
      <c r="M10" s="4">
        <f>INDEX(InfoFlow[Description],MATCH(DataExport[[#This Row],[Info Flow Id]],InfoFlow[Info Flow Id],0))</f>
        <v>0</v>
      </c>
      <c r="N10" s="4">
        <f>INDEX(InfoFlow[Location],MATCH(DataExport[[#This Row],[Info Flow Id]],InfoFlow[Info Flow Id],0))</f>
        <v>0</v>
      </c>
    </row>
    <row r="11" spans="1:14" x14ac:dyDescent="0.35">
      <c r="A11" s="4" t="str">
        <f>IFERROR(InfoFlow[[#This Row],[Info Flow Id]],"")</f>
        <v>IF010</v>
      </c>
      <c r="B11" s="4">
        <f>IFERROR(InfoFlow[[#This Row],[Displayed Id]],"")</f>
        <v>10</v>
      </c>
      <c r="C11" s="4">
        <f>IFERROR(InfoFlow[[#This Row],[Source Application]],"")</f>
        <v>0</v>
      </c>
      <c r="D11" s="4">
        <f>IFERROR(InfoFlow[[#This Row],[Destination Application]],"")</f>
        <v>0</v>
      </c>
      <c r="E11" s="4" t="e">
        <f>INDEX(InfoFlow[Type],MATCH(DataExport[[#This Row],[Info Flow Id]],InfoFlow[Info Flow Id],0)) &amp; "/" &amp; INDEX(InfoFlow[Protocol],MATCH(DataExport[[#This Row],[Info Flow Id]],InfoFlow[Info Flow Id],0)) &amp; "/" &amp; INDEX(InfoFlow[Format],MATCH(DataExport[[#This Row],[Info Flow Id]],InfoFlow[Info Flow Id],0))</f>
        <v>#N/A</v>
      </c>
      <c r="F11" s="4" t="str">
        <f>CONCATENATE("(In) ",
INDEX(InfoFlow[Data Entity In 1],MATCH(DataExport[[#This Row],[Info Flow Id]],InfoFlow[Info Flow Id],0)),
IF(INDEX(InfoFlow[Data Entity In 2],MATCH(DataExport[[#This Row],[Info Flow Id]],InfoFlow[Info Flow Id],0)) = "", "",", " &amp; INDEX(InfoFlow[Data Entity In 2],MATCH(DataExport[[#This Row],[Info Flow Id]],InfoFlow[Info Flow Id],0))),
IF(INDEX(InfoFlow[Data Entity In 3],MATCH(DataExport[[#This Row],[Info Flow Id]],InfoFlow[Info Flow Id],0)) = "", "",", " &amp; INDEX(InfoFlow[Data Entity In 3],MATCH(DataExport[[#This Row],[Info Flow Id]],InfoFlow[Info Flow Id],0))),
IF(INDEX(InfoFlow[Data Entity In 4],MATCH(DataExport[[#This Row],[Info Flow Id]],InfoFlow[Info Flow Id],0)) = "", "",", " &amp; INDEX(InfoFlow[Data Entity In 4],MATCH(DataExport[[#This Row],[Info Flow Id]],InfoFlow[Info Flow Id],0))),
IF(INDEX(InfoFlow[Data Entity In 5],MATCH(DataExport[[#This Row],[Info Flow Id]],InfoFlow[Info Flow Id],0)) = "", "",", " &amp; INDEX(InfoFlow[Data Entity In 5],MATCH(DataExport[[#This Row],[Info Flow Id]],InfoFlow[Info Flow Id],0))),
"  (Out) ",
INDEX(InfoFlow[Data Entity Out 1],MATCH(DataExport[[#This Row],[Info Flow Id]],InfoFlow[Info Flow Id],0)),
IF(INDEX(InfoFlow[Data Entity Out 2],MATCH(DataExport[[#This Row],[Info Flow Id]],InfoFlow[Info Flow Id],0)) = "", "",", " &amp; INDEX(InfoFlow[Data Entity Out 2],MATCH(DataExport[[#This Row],[Info Flow Id]],InfoFlow[Info Flow Id],0))),
IF(INDEX(InfoFlow[Data Entity Out 3],MATCH(DataExport[[#This Row],[Info Flow Id]],InfoFlow[Info Flow Id],0)) = "", "",", " &amp; INDEX(InfoFlow[Data Entity Out 3],MATCH(DataExport[[#This Row],[Info Flow Id]],InfoFlow[Info Flow Id],0))),
IF(INDEX(InfoFlow[Data Entity Out 4],MATCH(DataExport[[#This Row],[Info Flow Id]],InfoFlow[Info Flow Id],0)) = "", "",", " &amp; INDEX(InfoFlow[Data Entity Out 4],MATCH(DataExport[[#This Row],[Info Flow Id]],InfoFlow[Info Flow Id],0))),
IF(INDEX(InfoFlow[Data Entity Out 5],MATCH(DataExport[[#This Row],[Info Flow Id]],InfoFlow[Info Flow Id],0)) = "", "",", " &amp; INDEX(InfoFlow[Data Entity Out 5],MATCH(DataExport[[#This Row],[Info Flow Id]],InfoFlow[Info Flow Id],0))))</f>
        <v xml:space="preserve">(In)   (Out) </v>
      </c>
      <c r="G11" s="4">
        <f>INDEX(InfoFlow[Initiator],MATCH(DataExport[[#This Row],[Info Flow Id]],InfoFlow[Info Flow Id],0))</f>
        <v>0</v>
      </c>
      <c r="H11" s="4">
        <f>INDEX(InfoFlow[Exchange],MATCH(DataExport[[#This Row],[Info Flow Id]],InfoFlow[Info Flow Id],0))</f>
        <v>0</v>
      </c>
      <c r="I11" s="4">
        <f>INDEX(InfoFlow[Type],MATCH(DataExport[[#This Row],[Info Flow Id]],InfoFlow[Info Flow Id],0))</f>
        <v>0</v>
      </c>
      <c r="J11" s="4">
        <f>INDEX(InfoFlow[Protocol Name],MATCH(DataExport[[#This Row],[Info Flow Id]],InfoFlow[Info Flow Id],0))</f>
        <v>0</v>
      </c>
      <c r="K11" s="4">
        <f>INDEX(InfoFlow[Format],MATCH(DataExport[[#This Row],[Info Flow Id]],InfoFlow[Info Flow Id],0))</f>
        <v>0</v>
      </c>
      <c r="L11" s="4">
        <f>INDEX(InfoFlow[Status],MATCH(DataExport[[#This Row],[Info Flow Id]],InfoFlow[Info Flow Id],0))</f>
        <v>0</v>
      </c>
      <c r="M11" s="4">
        <f>INDEX(InfoFlow[Description],MATCH(DataExport[[#This Row],[Info Flow Id]],InfoFlow[Info Flow Id],0))</f>
        <v>0</v>
      </c>
      <c r="N11" s="4">
        <f>INDEX(InfoFlow[Location],MATCH(DataExport[[#This Row],[Info Flow Id]],InfoFlow[Info Flow Id],0))</f>
        <v>0</v>
      </c>
    </row>
  </sheetData>
  <pageMargins left="0.25" right="0.25" top="0.75" bottom="0.75" header="0.3" footer="0.3"/>
  <pageSetup orientation="landscape" r:id="rId1"/>
  <headerFooter>
    <oddHeader>&amp;L&amp;"EMprint Regular,Regular"&amp;16&amp;K3A397BTitle&amp;R&amp;G</oddHead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34998626667073579"/>
  </sheetPr>
  <dimension ref="A1:M37"/>
  <sheetViews>
    <sheetView zoomScaleNormal="100" workbookViewId="0">
      <pane ySplit="1" topLeftCell="A2" activePane="bottomLeft" state="frozen"/>
      <selection pane="bottomLeft" activeCell="B3" sqref="B3"/>
    </sheetView>
  </sheetViews>
  <sheetFormatPr defaultColWidth="8.75" defaultRowHeight="15.5" x14ac:dyDescent="0.35"/>
  <cols>
    <col min="1" max="1" width="10.58203125" style="1" bestFit="1" customWidth="1"/>
    <col min="2" max="2" width="10.58203125" style="1" customWidth="1"/>
    <col min="3" max="3" width="2.58203125" style="1" customWidth="1"/>
    <col min="4" max="4" width="11.75" style="1" bestFit="1" customWidth="1"/>
    <col min="5" max="5" width="2.58203125" style="1" customWidth="1"/>
    <col min="6" max="6" width="11.25" style="1" bestFit="1" customWidth="1"/>
    <col min="7" max="7" width="2.58203125" style="1" customWidth="1"/>
    <col min="8" max="8" width="20.25" style="1" bestFit="1" customWidth="1"/>
    <col min="9" max="9" width="15.33203125" style="1" bestFit="1" customWidth="1"/>
    <col min="10" max="10" width="2.58203125" style="1" customWidth="1"/>
    <col min="11" max="11" width="15.33203125" style="1" customWidth="1"/>
    <col min="12" max="12" width="2.58203125" style="1" customWidth="1"/>
    <col min="13" max="13" width="15.25" style="1" bestFit="1" customWidth="1"/>
    <col min="14" max="16384" width="8.75" style="1"/>
  </cols>
  <sheetData>
    <row r="1" spans="1:13" x14ac:dyDescent="0.35">
      <c r="A1" s="1" t="s">
        <v>171</v>
      </c>
      <c r="B1" s="1" t="s">
        <v>361</v>
      </c>
      <c r="D1" s="1" t="s">
        <v>172</v>
      </c>
      <c r="F1" s="1" t="s">
        <v>173</v>
      </c>
      <c r="H1" s="1" t="s">
        <v>174</v>
      </c>
      <c r="I1" s="1" t="s">
        <v>175</v>
      </c>
      <c r="K1" s="1" t="s">
        <v>176</v>
      </c>
      <c r="M1" s="1" t="s">
        <v>177</v>
      </c>
    </row>
    <row r="2" spans="1:13" x14ac:dyDescent="0.35">
      <c r="A2" s="1" t="s">
        <v>82</v>
      </c>
      <c r="B2" s="21" t="s">
        <v>362</v>
      </c>
      <c r="D2" s="1" t="s">
        <v>178</v>
      </c>
      <c r="F2" s="1" t="s">
        <v>79</v>
      </c>
      <c r="H2" s="1" t="s">
        <v>32</v>
      </c>
      <c r="I2" s="1" t="s">
        <v>88</v>
      </c>
      <c r="K2" s="1" t="s">
        <v>179</v>
      </c>
      <c r="M2" s="1" t="s">
        <v>76</v>
      </c>
    </row>
    <row r="3" spans="1:13" x14ac:dyDescent="0.35">
      <c r="A3" s="1" t="s">
        <v>83</v>
      </c>
      <c r="B3" s="21" t="s">
        <v>365</v>
      </c>
      <c r="D3" s="1" t="s">
        <v>180</v>
      </c>
      <c r="F3" s="1" t="s">
        <v>31</v>
      </c>
      <c r="H3" s="1" t="s">
        <v>181</v>
      </c>
      <c r="I3" s="1" t="s">
        <v>182</v>
      </c>
      <c r="K3" s="1" t="s">
        <v>183</v>
      </c>
      <c r="M3" s="1" t="s">
        <v>77</v>
      </c>
    </row>
    <row r="4" spans="1:13" x14ac:dyDescent="0.35">
      <c r="A4" s="1" t="s">
        <v>84</v>
      </c>
      <c r="B4" s="21" t="s">
        <v>363</v>
      </c>
      <c r="F4" s="1" t="s">
        <v>184</v>
      </c>
      <c r="H4" s="1" t="s">
        <v>185</v>
      </c>
      <c r="I4" s="1" t="s">
        <v>186</v>
      </c>
      <c r="K4" s="1" t="s">
        <v>33</v>
      </c>
      <c r="M4" s="1" t="s">
        <v>78</v>
      </c>
    </row>
    <row r="5" spans="1:13" x14ac:dyDescent="0.35">
      <c r="A5" s="1" t="s">
        <v>86</v>
      </c>
      <c r="B5" s="21" t="s">
        <v>364</v>
      </c>
      <c r="F5" s="1" t="s">
        <v>187</v>
      </c>
      <c r="H5" s="1" t="s">
        <v>188</v>
      </c>
      <c r="I5" s="1" t="s">
        <v>189</v>
      </c>
      <c r="K5" s="1" t="s">
        <v>190</v>
      </c>
      <c r="M5" s="1" t="s">
        <v>80</v>
      </c>
    </row>
    <row r="6" spans="1:13" x14ac:dyDescent="0.35">
      <c r="F6" s="1" t="s">
        <v>191</v>
      </c>
      <c r="H6" s="1" t="s">
        <v>192</v>
      </c>
      <c r="I6" s="1" t="s">
        <v>87</v>
      </c>
      <c r="K6" s="1" t="s">
        <v>193</v>
      </c>
      <c r="M6" s="1" t="s">
        <v>81</v>
      </c>
    </row>
    <row r="7" spans="1:13" x14ac:dyDescent="0.35">
      <c r="F7" s="1" t="s">
        <v>86</v>
      </c>
      <c r="H7" s="1" t="s">
        <v>36</v>
      </c>
      <c r="I7" s="1" t="s">
        <v>194</v>
      </c>
      <c r="K7" s="1" t="s">
        <v>195</v>
      </c>
    </row>
    <row r="8" spans="1:13" x14ac:dyDescent="0.35">
      <c r="H8" s="1" t="s">
        <v>196</v>
      </c>
      <c r="I8" s="1" t="s">
        <v>85</v>
      </c>
      <c r="K8" s="1" t="s">
        <v>197</v>
      </c>
    </row>
    <row r="9" spans="1:13" x14ac:dyDescent="0.35">
      <c r="H9" s="1" t="s">
        <v>198</v>
      </c>
      <c r="I9" s="1" t="s">
        <v>199</v>
      </c>
      <c r="K9" s="1" t="s">
        <v>200</v>
      </c>
    </row>
    <row r="10" spans="1:13" x14ac:dyDescent="0.35">
      <c r="H10" s="1" t="s">
        <v>201</v>
      </c>
      <c r="I10" s="1" t="s">
        <v>202</v>
      </c>
      <c r="K10" s="1" t="s">
        <v>203</v>
      </c>
    </row>
    <row r="11" spans="1:13" x14ac:dyDescent="0.35">
      <c r="H11" s="1" t="s">
        <v>204</v>
      </c>
      <c r="I11" s="1" t="s">
        <v>205</v>
      </c>
      <c r="K11" s="1" t="s">
        <v>206</v>
      </c>
    </row>
    <row r="12" spans="1:13" x14ac:dyDescent="0.35">
      <c r="H12" s="1" t="s">
        <v>207</v>
      </c>
      <c r="I12" s="1" t="s">
        <v>208</v>
      </c>
      <c r="K12" s="1" t="s">
        <v>86</v>
      </c>
    </row>
    <row r="13" spans="1:13" x14ac:dyDescent="0.35">
      <c r="H13" s="1" t="s">
        <v>209</v>
      </c>
      <c r="I13" s="1" t="s">
        <v>210</v>
      </c>
    </row>
    <row r="14" spans="1:13" x14ac:dyDescent="0.35">
      <c r="H14" s="1" t="s">
        <v>211</v>
      </c>
      <c r="I14" s="1" t="s">
        <v>212</v>
      </c>
    </row>
    <row r="15" spans="1:13" x14ac:dyDescent="0.35">
      <c r="H15" s="1" t="s">
        <v>213</v>
      </c>
      <c r="I15" s="1" t="s">
        <v>214</v>
      </c>
    </row>
    <row r="16" spans="1:13" x14ac:dyDescent="0.35">
      <c r="H16" s="1" t="s">
        <v>215</v>
      </c>
      <c r="I16" s="1" t="s">
        <v>216</v>
      </c>
    </row>
    <row r="17" spans="8:9" x14ac:dyDescent="0.35">
      <c r="H17" s="1" t="s">
        <v>217</v>
      </c>
      <c r="I17" s="1" t="s">
        <v>218</v>
      </c>
    </row>
    <row r="18" spans="8:9" x14ac:dyDescent="0.35">
      <c r="H18" s="1" t="s">
        <v>219</v>
      </c>
      <c r="I18" s="1" t="s">
        <v>220</v>
      </c>
    </row>
    <row r="19" spans="8:9" x14ac:dyDescent="0.35">
      <c r="H19" s="1" t="s">
        <v>221</v>
      </c>
      <c r="I19" s="1" t="s">
        <v>222</v>
      </c>
    </row>
    <row r="20" spans="8:9" x14ac:dyDescent="0.35">
      <c r="H20" s="1" t="s">
        <v>223</v>
      </c>
      <c r="I20" s="1" t="s">
        <v>224</v>
      </c>
    </row>
    <row r="21" spans="8:9" x14ac:dyDescent="0.35">
      <c r="H21" s="1" t="s">
        <v>225</v>
      </c>
      <c r="I21" s="1" t="s">
        <v>226</v>
      </c>
    </row>
    <row r="22" spans="8:9" x14ac:dyDescent="0.35">
      <c r="H22" s="1" t="s">
        <v>227</v>
      </c>
      <c r="I22" s="1" t="s">
        <v>228</v>
      </c>
    </row>
    <row r="23" spans="8:9" x14ac:dyDescent="0.35">
      <c r="H23" s="1" t="s">
        <v>229</v>
      </c>
      <c r="I23" s="1" t="s">
        <v>230</v>
      </c>
    </row>
    <row r="24" spans="8:9" x14ac:dyDescent="0.35">
      <c r="H24" s="1" t="s">
        <v>231</v>
      </c>
      <c r="I24" s="1" t="s">
        <v>232</v>
      </c>
    </row>
    <row r="25" spans="8:9" x14ac:dyDescent="0.35">
      <c r="H25" s="1" t="s">
        <v>233</v>
      </c>
      <c r="I25" s="1" t="s">
        <v>234</v>
      </c>
    </row>
    <row r="26" spans="8:9" x14ac:dyDescent="0.35">
      <c r="H26" s="1" t="s">
        <v>235</v>
      </c>
      <c r="I26" s="1" t="s">
        <v>236</v>
      </c>
    </row>
    <row r="27" spans="8:9" x14ac:dyDescent="0.35">
      <c r="H27" s="1" t="s">
        <v>237</v>
      </c>
      <c r="I27" s="1" t="s">
        <v>238</v>
      </c>
    </row>
    <row r="28" spans="8:9" x14ac:dyDescent="0.35">
      <c r="H28" s="1" t="s">
        <v>239</v>
      </c>
      <c r="I28" s="1" t="s">
        <v>240</v>
      </c>
    </row>
    <row r="29" spans="8:9" x14ac:dyDescent="0.35">
      <c r="H29" s="1" t="s">
        <v>241</v>
      </c>
      <c r="I29" s="1" t="s">
        <v>242</v>
      </c>
    </row>
    <row r="30" spans="8:9" x14ac:dyDescent="0.35">
      <c r="H30" s="1" t="s">
        <v>243</v>
      </c>
      <c r="I30" s="1" t="s">
        <v>244</v>
      </c>
    </row>
    <row r="31" spans="8:9" x14ac:dyDescent="0.35">
      <c r="H31" s="1" t="s">
        <v>245</v>
      </c>
      <c r="I31" s="1" t="s">
        <v>246</v>
      </c>
    </row>
    <row r="32" spans="8:9" x14ac:dyDescent="0.35">
      <c r="H32" s="1" t="s">
        <v>247</v>
      </c>
      <c r="I32" s="1" t="s">
        <v>248</v>
      </c>
    </row>
    <row r="33" spans="8:9" x14ac:dyDescent="0.35">
      <c r="H33" s="1" t="s">
        <v>249</v>
      </c>
      <c r="I33" s="1" t="s">
        <v>250</v>
      </c>
    </row>
    <row r="34" spans="8:9" x14ac:dyDescent="0.35">
      <c r="H34" s="1" t="s">
        <v>251</v>
      </c>
      <c r="I34" s="1" t="s">
        <v>252</v>
      </c>
    </row>
    <row r="35" spans="8:9" x14ac:dyDescent="0.35">
      <c r="H35" s="1" t="s">
        <v>253</v>
      </c>
      <c r="I35" s="1" t="s">
        <v>254</v>
      </c>
    </row>
    <row r="36" spans="8:9" x14ac:dyDescent="0.35">
      <c r="H36" s="1" t="s">
        <v>206</v>
      </c>
      <c r="I36" s="1" t="s">
        <v>206</v>
      </c>
    </row>
    <row r="37" spans="8:9" x14ac:dyDescent="0.35">
      <c r="H37" s="1" t="s">
        <v>86</v>
      </c>
      <c r="I37" s="1" t="s">
        <v>86</v>
      </c>
    </row>
  </sheetData>
  <pageMargins left="0.7" right="0.7" top="0.75" bottom="0.75" header="0.3" footer="0.3"/>
  <pageSetup orientation="landscape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Artifact" ma:contentTypeID="0x01010011572E6ACDC50C4CACC848351C5A6DF00003DF822A28B08C409FC549640B3EC8EB" ma:contentTypeVersion="54" ma:contentTypeDescription="Architecture Artifact" ma:contentTypeScope="" ma:versionID="2542d8192daa4dc15030df050e73efe9">
  <xsd:schema xmlns:xsd="http://www.w3.org/2001/XMLSchema" xmlns:xs="http://www.w3.org/2001/XMLSchema" xmlns:p="http://schemas.microsoft.com/office/2006/metadata/properties" xmlns:ns1="http://schemas.microsoft.com/sharepoint/v3" xmlns:ns2="6267afae-8eae-4342-819b-e4655dfeb2c7" xmlns:ns3="http://schemas.microsoft.com/sharepoint/v3/fields" targetNamespace="http://schemas.microsoft.com/office/2006/metadata/properties" ma:root="true" ma:fieldsID="74723251e63144c6450442e31c452ff4" ns1:_="" ns2:_="" ns3:_="">
    <xsd:import namespace="http://schemas.microsoft.com/sharepoint/v3"/>
    <xsd:import namespace="6267afae-8eae-4342-819b-e4655dfeb2c7"/>
    <xsd:import namespace="http://schemas.microsoft.com/sharepoint/v3/fields"/>
    <xsd:element name="properties">
      <xsd:complexType>
        <xsd:sequence>
          <xsd:element name="documentManagement">
            <xsd:complexType>
              <xsd:all>
                <xsd:element ref="ns2:Abstraction"/>
                <xsd:element ref="ns2:Architecture_x0020_Dom"/>
                <xsd:element ref="ns2:Lead_x0020_Architect"/>
                <xsd:element ref="ns2:Value_x0020_Chain"/>
                <xsd:element ref="ns2:Business_x0020_Capability"/>
                <xsd:element ref="ns2:L2_x0020_-_x0020_Business_x0020_Capabilities" minOccurs="0"/>
                <xsd:element ref="ns2:Technology_x0020_Capability"/>
                <xsd:element ref="ns2:L2_x0020_-_x0020_Technology_x0020_Capabilities" minOccurs="0"/>
                <xsd:element ref="ns2:RA-RI" minOccurs="0"/>
                <xsd:element ref="ns3:_Status"/>
                <xsd:element ref="ns2:Project_x002f_SWI_x0020_Code" minOccurs="0"/>
                <xsd:element ref="ns1:Form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FormData" ma:index="20" nillable="true" ma:displayName="Form Data" ma:hidden="true" ma:internalName="FormData" ma:readOnly="fals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67afae-8eae-4342-819b-e4655dfeb2c7" elementFormDefault="qualified">
    <xsd:import namespace="http://schemas.microsoft.com/office/2006/documentManagement/types"/>
    <xsd:import namespace="http://schemas.microsoft.com/office/infopath/2007/PartnerControls"/>
    <xsd:element name="Abstraction" ma:index="2" ma:displayName="Abstraction" ma:description="Provide the Architecture Perspective / Abstraction" ma:format="Dropdown" ma:indexed="true" ma:internalName="Abstraction">
      <xsd:simpleType>
        <xsd:restriction base="dms:Choice">
          <xsd:enumeration value="1-Contextual"/>
          <xsd:enumeration value="2-Conceptual"/>
          <xsd:enumeration value="3-Logical"/>
          <xsd:enumeration value="4-Physical"/>
          <xsd:enumeration value="5-Detailed"/>
          <xsd:enumeration value="7-Governance"/>
          <xsd:enumeration value="8-Work"/>
          <xsd:enumeration value="9-Any"/>
        </xsd:restriction>
      </xsd:simpleType>
    </xsd:element>
    <xsd:element name="Architecture_x0020_Dom" ma:index="3" ma:displayName="Arch Domain" ma:default="9-N/A" ma:description="Select corresponding architecture domain" ma:format="Dropdown" ma:indexed="true" ma:internalName="Architecture_x0020_Dom" ma:readOnly="false">
      <xsd:simpleType>
        <xsd:restriction base="dms:Choice">
          <xsd:enumeration value="1-Business"/>
          <xsd:enumeration value="2-Data"/>
          <xsd:enumeration value="3-Application"/>
          <xsd:enumeration value="4-Technology"/>
          <xsd:enumeration value="5-Information"/>
          <xsd:enumeration value="6-Security"/>
          <xsd:enumeration value="8-Any"/>
          <xsd:enumeration value="9-N/A"/>
        </xsd:restriction>
      </xsd:simpleType>
    </xsd:element>
    <xsd:element name="Lead_x0020_Architect" ma:index="4" ma:displayName="Lead Architect" ma:description="Lead architect responsible for this artifact" ma:indexed="true" ma:list="UserInfo" ma:SharePointGroup="0" ma:internalName="Lead_x0020_Architect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alue_x0020_Chain" ma:index="5" ma:displayName="Value Chain" ma:default="Chemicals" ma:description="Select corresponding value chain related to the artifact" ma:format="Dropdown" ma:indexed="true" ma:internalName="Value_x0020_Chain">
      <xsd:simpleType>
        <xsd:restriction base="dms:Choice">
          <xsd:enumeration value="Chemicals"/>
          <xsd:enumeration value="Entreprise Services"/>
          <xsd:enumeration value="Fuels"/>
          <xsd:enumeration value="Lubes"/>
          <xsd:enumeration value="Research and Technology"/>
          <xsd:enumeration value="Upstream"/>
        </xsd:restriction>
      </xsd:simpleType>
    </xsd:element>
    <xsd:element name="Business_x0020_Capability" ma:index="6" ma:displayName="Business Capability" ma:default="N/A" ma:description="Please select Business Capability that applies to the tool/artifact" ma:format="Dropdown" ma:indexed="true" ma:internalName="Business_x0020_Capability" ma:readOnly="false">
      <xsd:simpleType>
        <xsd:restriction base="dms:Choice">
          <xsd:enumeration value="01 Vision &amp; Strategy"/>
          <xsd:enumeration value="02 Governance, Risk &amp; Compliance"/>
          <xsd:enumeration value="03 Business Development"/>
          <xsd:enumeration value="04 Venture/Facility Development"/>
          <xsd:enumeration value="05 Operations"/>
          <xsd:enumeration value="06 Supply Chain"/>
          <xsd:enumeration value="07 Sales &amp; Marketing"/>
          <xsd:enumeration value="08 Research &amp; Technology"/>
          <xsd:enumeration value="09 Human Resources"/>
          <xsd:enumeration value="10 Financial Management"/>
          <xsd:enumeration value="11 Analytics &amp; Data Management"/>
          <xsd:enumeration value="12 Information Technology"/>
          <xsd:enumeration value="13 Safety, Security, Health &amp; Sustainability"/>
          <xsd:enumeration value="14 External Relationships"/>
          <xsd:enumeration value="N/A"/>
        </xsd:restriction>
      </xsd:simpleType>
    </xsd:element>
    <xsd:element name="L2_x0020_-_x0020_Business_x0020_Capabilities" ma:index="7" nillable="true" ma:displayName="L2 - Business Capabilities" ma:list="{e8dad0a2-6a37-4556-a706-3bdf01e97d78}" ma:internalName="L2_x0020__x002d__x0020_Business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echnology_x0020_Capability" ma:index="8" ma:displayName="Technology Capability" ma:default="N/A" ma:description="Please select the IT Capability that applies to the tool/artifact" ma:format="Dropdown" ma:indexed="true" ma:internalName="Technology_x0020_Capability" ma:readOnly="false">
      <xsd:simpleType>
        <xsd:restriction base="dms:Choice">
          <xsd:enumeration value="T01 Application Services"/>
          <xsd:enumeration value="T02 Automation Services"/>
          <xsd:enumeration value="T03 Connectivity"/>
          <xsd:enumeration value="T04 Data Services"/>
          <xsd:enumeration value="T05 Emerging Tech"/>
          <xsd:enumeration value="T06 End User Services"/>
          <xsd:enumeration value="T07 Hosting Compute"/>
          <xsd:enumeration value="T08 Security"/>
          <xsd:enumeration value="T09 Storage Services"/>
          <xsd:enumeration value="T10 System Management Services"/>
          <xsd:enumeration value="N/A"/>
        </xsd:restriction>
      </xsd:simpleType>
    </xsd:element>
    <xsd:element name="L2_x0020_-_x0020_Technology_x0020_Capabilities" ma:index="9" nillable="true" ma:displayName="L2 - Technology Capabilities" ma:list="{24b8a2c9-cbf9-479c-8012-f087c0ab45bd}" ma:internalName="L2_x0020__x002d__x0020_Technology_x0020_Capabilities" ma:showField="Title" ma:web="6267afae-8eae-4342-819b-e4655dfeb2c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RA-RI" ma:index="10" nillable="true" ma:displayName="RA-RI" ma:default="N/A" ma:format="Dropdown" ma:internalName="RA_x002d_RI" ma:readOnly="false">
      <xsd:simpleType>
        <xsd:restriction base="dms:Choice">
          <xsd:enumeration value="RA"/>
          <xsd:enumeration value="RI"/>
          <xsd:enumeration value="N/A"/>
        </xsd:restriction>
      </xsd:simpleType>
    </xsd:element>
    <xsd:element name="Project_x002f_SWI_x0020_Code" ma:index="12" nillable="true" ma:displayName="Work ID" ma:description="Please add PPL code, Epic, Feature (Number only)" ma:internalName="Project_x002F_SWI_x0020_Code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11" ma:displayName="Status" ma:default="Draft" ma:format="Dropdown" ma:internalName="_Status" ma:readOnly="false">
      <xsd:simpleType>
        <xsd:restriction base="dms:Choice">
          <xsd:enumeration value="Draft"/>
          <xsd:enumeration value="Final"/>
          <xsd:enumeration value="Expired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 ma:index="13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axOccurs="1" ma:displayName="Status">
          <xsd:simpleType xmlns:xs="http://www.w3.org/2001/XMLSchema">
            <xsd:restriction base="xsd:string">
              <xsd:minLength value="1"/>
            </xsd:restriction>
          </xsd:simpleType>
        </xsd:element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Urls xmlns="http://schemas.microsoft.com/sharepoint/v3/contenttype/forms/url">
  <MobileDisplay>_layouts/15/NintexForms/Mobile/DispForm.aspx</MobileDisplay>
  <MobileEdit>_layouts/15/NintexForms/Mobile/EditForm.aspx</MobileEdit>
  <MobileNew>_layouts/15/NintexForms/Mobile/NewForm.aspx</MobileNew>
</FormUrl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ead_x0020_Architect xmlns="6267afae-8eae-4342-819b-e4655dfeb2c7">
      <UserInfo>
        <DisplayName>Robinson, Jon /C</DisplayName>
        <AccountId>18326</AccountId>
        <AccountType/>
      </UserInfo>
    </Lead_x0020_Architect>
    <Value_x0020_Chain xmlns="6267afae-8eae-4342-819b-e4655dfeb2c7">Entreprise Services</Value_x0020_Chain>
    <Business_x0020_Capability xmlns="6267afae-8eae-4342-819b-e4655dfeb2c7">N/A</Business_x0020_Capability>
    <_Status xmlns="http://schemas.microsoft.com/sharepoint/v3/fields">Draft</_Status>
    <Abstraction xmlns="6267afae-8eae-4342-819b-e4655dfeb2c7">3-Logical</Abstraction>
    <Technology_x0020_Capability xmlns="6267afae-8eae-4342-819b-e4655dfeb2c7">N/A</Technology_x0020_Capability>
    <Architecture_x0020_Dom xmlns="6267afae-8eae-4342-819b-e4655dfeb2c7">2-Data</Architecture_x0020_Dom>
    <L2_x0020_-_x0020_Business_x0020_Capabilities xmlns="6267afae-8eae-4342-819b-e4655dfeb2c7"/>
    <L2_x0020_-_x0020_Technology_x0020_Capabilities xmlns="6267afae-8eae-4342-819b-e4655dfeb2c7"/>
    <RA-RI xmlns="6267afae-8eae-4342-819b-e4655dfeb2c7">N/A</RA-RI>
    <Project_x002f_SWI_x0020_Code xmlns="6267afae-8eae-4342-819b-e4655dfeb2c7" xsi:nil="true"/>
    <FormData xmlns="http://schemas.microsoft.com/sharepoint/v3" xsi:nil="true"/>
  </documentManagement>
</p:properties>
</file>

<file path=customXml/item4.xml><?xml version="1.0" encoding="utf-8"?>
<?mso-contentType ?>
<FormTemplates xmlns="http://schemas.microsoft.com/sharepoint/v3/contenttype/forms">
  <Display>NFListDisplayForm</Display>
  <Edit>NFListEditForm</Edit>
  <New>NFListEditForm</New>
</FormTemplates>
</file>

<file path=customXml/item5.xml><?xml version="1.0" encoding="utf-8"?>
<?mso-contentType ?>
<FormTemplates>
  <Display>DocumentLibraryForm</Display>
  <Edit>DocumentLibraryForm</Edit>
  <New>DocumentLibraryForm</New>
  <MobileDisplayFormUrl/>
  <MobileEditFormUrl/>
  <MobileNewFormUrl/>
</FormTemplates>
</file>

<file path=customXml/itemProps1.xml><?xml version="1.0" encoding="utf-8"?>
<ds:datastoreItem xmlns:ds="http://schemas.openxmlformats.org/officeDocument/2006/customXml" ds:itemID="{6D6015C1-4FFE-42CB-9435-D117622BE6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267afae-8eae-4342-819b-e4655dfeb2c7"/>
    <ds:schemaRef ds:uri="http://schemas.microsoft.com/sharepoint/v3/field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F3B5BC2-CCF4-4A84-8B3B-148832A04166}">
  <ds:schemaRefs>
    <ds:schemaRef ds:uri="http://schemas.microsoft.com/sharepoint/v3/contenttype/forms/url"/>
  </ds:schemaRefs>
</ds:datastoreItem>
</file>

<file path=customXml/itemProps3.xml><?xml version="1.0" encoding="utf-8"?>
<ds:datastoreItem xmlns:ds="http://schemas.openxmlformats.org/officeDocument/2006/customXml" ds:itemID="{C3D3AAB9-6561-40A0-A7DE-65C1DC1FD52C}">
  <ds:schemaRefs>
    <ds:schemaRef ds:uri="http://schemas.microsoft.com/sharepoint/v3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schemas.microsoft.com/sharepoint/v3/fields"/>
    <ds:schemaRef ds:uri="6267afae-8eae-4342-819b-e4655dfeb2c7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A123EBAA-3B8A-4183-9ECA-B55BA8FF56B1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DDEF49B3-35E9-496B-A922-FDEBCF438D7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Introduction</vt:lpstr>
      <vt:lpstr>Entities</vt:lpstr>
      <vt:lpstr>Information Flow Catalogue</vt:lpstr>
      <vt:lpstr>Statistics</vt:lpstr>
      <vt:lpstr>IF Visual (Static)</vt:lpstr>
      <vt:lpstr>IF Data Export</vt:lpstr>
      <vt:lpstr>Lookups</vt:lpstr>
      <vt:lpstr>_Exchange</vt:lpstr>
      <vt:lpstr>_Format</vt:lpstr>
      <vt:lpstr>_Initiator</vt:lpstr>
      <vt:lpstr>_Protocol</vt:lpstr>
      <vt:lpstr>_ProtocolName</vt:lpstr>
      <vt:lpstr>_Status</vt:lpstr>
      <vt:lpstr>_Type</vt:lpstr>
      <vt:lpstr>Conversation_Id</vt:lpstr>
      <vt:lpstr>Data_Entity_Name</vt:lpstr>
      <vt:lpstr>Location_Name</vt:lpstr>
      <vt:lpstr>Logical_Component_Name</vt:lpstr>
    </vt:vector>
  </TitlesOfParts>
  <Manager/>
  <Company>ExxonMobil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Information Flow Catalog</dc:title>
  <dc:subject>Application Interaction Model</dc:subject>
  <dc:creator>Office of Modern Architecture</dc:creator>
  <cp:keywords>Solution; S2E; CX2E; CXDD; CDD; Information Flow</cp:keywords>
  <dc:description/>
  <cp:lastModifiedBy>Robinson, Jon /C</cp:lastModifiedBy>
  <cp:revision/>
  <dcterms:created xsi:type="dcterms:W3CDTF">2017-12-12T19:50:11Z</dcterms:created>
  <dcterms:modified xsi:type="dcterms:W3CDTF">2022-11-09T21:37:20Z</dcterms:modified>
  <cp:category/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1254428838</vt:i4>
  </property>
  <property fmtid="{D5CDD505-2E9C-101B-9397-08002B2CF9AE}" pid="3" name="_NewReviewCycle">
    <vt:lpwstr/>
  </property>
  <property fmtid="{D5CDD505-2E9C-101B-9397-08002B2CF9AE}" pid="4" name="_EmailSubject">
    <vt:lpwstr>excel</vt:lpwstr>
  </property>
  <property fmtid="{D5CDD505-2E9C-101B-9397-08002B2CF9AE}" pid="5" name="_AuthorEmail">
    <vt:lpwstr>amanda.t.nguyen@exxonmobil.com</vt:lpwstr>
  </property>
  <property fmtid="{D5CDD505-2E9C-101B-9397-08002B2CF9AE}" pid="6" name="_AuthorEmailDisplayName">
    <vt:lpwstr>Nguyen, Amanda T /C</vt:lpwstr>
  </property>
  <property fmtid="{D5CDD505-2E9C-101B-9397-08002B2CF9AE}" pid="7" name="ContentTypeId">
    <vt:lpwstr>0x01010011572E6ACDC50C4CACC848351C5A6DF00003DF822A28B08C409FC549640B3EC8EB</vt:lpwstr>
  </property>
  <property fmtid="{D5CDD505-2E9C-101B-9397-08002B2CF9AE}" pid="8" name="_ReviewingToolsShownOnce">
    <vt:lpwstr/>
  </property>
  <property fmtid="{D5CDD505-2E9C-101B-9397-08002B2CF9AE}" pid="9" name="RI/RA">
    <vt:lpwstr>RA</vt:lpwstr>
  </property>
  <property fmtid="{D5CDD505-2E9C-101B-9397-08002B2CF9AE}" pid="10" name="Architecture Domain">
    <vt:lpwstr>2-Data</vt:lpwstr>
  </property>
  <property fmtid="{D5CDD505-2E9C-101B-9397-08002B2CF9AE}" pid="11" name="Business Capability L2">
    <vt:lpwstr>;#N/A;#</vt:lpwstr>
  </property>
</Properties>
</file>